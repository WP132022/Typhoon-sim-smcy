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2048x2048" sheetId="1" r:id="rId1"/>
    <sheet name="Sheet2" sheetId="2" r:id="rId2"/>
    <sheet name="deepseek" sheetId="3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<sst xmlns="http://schemas.openxmlformats.org/spreadsheetml/2006/main" count="56" uniqueCount="28">
  <si>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修正纬度</t>
  </si>
  <si>
    <t>修正经度</t>
  </si>
  <si>
    <t>X</t>
  </si>
  <si>
    <t>Y</t>
  </si>
  <si>
    <t>纬度</t>
  </si>
  <si>
    <t>经度</t>
  </si>
  <si>
    <t>1024-X</t>
  </si>
  <si>
    <t>1024-Y</t>
  </si>
  <si>
    <t>tany</t>
  </si>
  <si>
    <t>纬a</t>
  </si>
  <si>
    <t>纬b</t>
  </si>
  <si>
    <t>纬c</t>
  </si>
  <si>
    <t>求根</t>
  </si>
  <si>
    <t>位置</t>
  </si>
  <si>
    <t>高度位置</t>
  </si>
  <si>
    <t>纬弧度</t>
  </si>
  <si>
    <t>tanx</t>
  </si>
  <si>
    <t>经a</t>
  </si>
  <si>
    <t>经b</t>
  </si>
  <si>
    <t>经c</t>
  </si>
  <si>
    <t>长度位置</t>
  </si>
  <si>
    <t>经弧度</t>
  </si>
  <si>
    <t>Δx</t>
  </si>
  <si>
    <t>Δy</t>
  </si>
  <si>
    <t>y</t>
  </si>
  <si>
    <t>g(y)</t>
  </si>
  <si>
    <t>x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</si>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</sst>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Sheet4!$A$2:$A$15</c:f>
              <c:numCache>
                <c:formatCode>General</c:formatCode>
                <c:ptCount val="14"/>
                <c:pt idx="0">
                  <c:v>53.4842967355838</c:v>
                </c:pt>
                <c:pt idx="1">
                  <c:v>50.0022014390362</c:v>
                </c:pt>
                <c:pt idx="2">
                  <c:v>40.7182706871026</c:v>
                </c:pt>
                <c:pt idx="3">
                  <c:v>38.0176619216361</c:v>
                </c:pt>
                <c:pt idx="4">
                  <c:v>36.6552763903769</c:v>
                </c:pt>
                <c:pt idx="5">
                  <c:v>30.9185182979628</c:v>
                </c:pt>
                <c:pt idx="6">
                  <c:v>24.8212341504652</c:v>
                </c:pt>
                <c:pt idx="7">
                  <c:v>21.5391993023106</c:v>
                </c:pt>
                <c:pt idx="8">
                  <c:v>6.75723174000439</c:v>
                </c:pt>
                <c:pt idx="9">
                  <c:v>5.4472682628119</c:v>
                </c:pt>
                <c:pt idx="10">
                  <c:v>5.25359719155844</c:v>
                </c:pt>
                <c:pt idx="11">
                  <c:v>-6.32002482913567</c:v>
                </c:pt>
                <c:pt idx="12">
                  <c:v>-10.0339228951528</c:v>
                </c:pt>
                <c:pt idx="13">
                  <c:v>-11.2192409208972</c:v>
                </c:pt>
              </c:numCache>
            </c:numRef>
          </c:xVal>
          <c:yVal>
            <c:numRef>
              <c:f>Sheet4!$B$2:$B$15</c:f>
              <c:numCache>
                <c:formatCode>0_ </c:formatCode>
                <c:ptCount val="14"/>
                <c:pt idx="0">
                  <c:v>543</c:v>
                </c:pt>
                <c:pt idx="1">
                  <c:v>510</c:v>
                </c:pt>
                <c:pt idx="2">
                  <c:v>412</c:v>
                </c:pt>
                <c:pt idx="3">
                  <c:v>388</c:v>
                </c:pt>
                <c:pt idx="4">
                  <c:v>374</c:v>
                </c:pt>
                <c:pt idx="5">
                  <c:v>315</c:v>
                </c:pt>
                <c:pt idx="6">
                  <c:v>253</c:v>
                </c:pt>
                <c:pt idx="7">
                  <c:v>219</c:v>
                </c:pt>
                <c:pt idx="8">
                  <c:v>69</c:v>
                </c:pt>
                <c:pt idx="9">
                  <c:v>56</c:v>
                </c:pt>
                <c:pt idx="10">
                  <c:v>54</c:v>
                </c:pt>
                <c:pt idx="11">
                  <c:v>-66</c:v>
                </c:pt>
                <c:pt idx="12">
                  <c:v>-102</c:v>
                </c:pt>
                <c:pt idx="13">
                  <c:v>-114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96156"/>
        <c:axId val="428191166"/>
      </c:scatterChart>
      <c:valAx>
        <c:axId val="1545961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191166"/>
        <c:crosses val="autoZero"/>
        <c:crossBetween val="midCat"/>
      </c:valAx>
      <c:valAx>
        <c:axId val="4281911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59615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259d03-3153-4cfe-b0c9-4864490235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Sheet3!$A$2:$A$15</c:f>
              <c:numCache>
                <c:formatCode>General</c:formatCode>
                <c:ptCount val="14"/>
                <c:pt idx="0">
                  <c:v>158.031731280552</c:v>
                </c:pt>
                <c:pt idx="1">
                  <c:v>156.266469065296</c:v>
                </c:pt>
                <c:pt idx="2">
                  <c:v>151.062548256332</c:v>
                </c:pt>
                <c:pt idx="3">
                  <c:v>142.424785452083</c:v>
                </c:pt>
                <c:pt idx="4">
                  <c:v>140.793592176724</c:v>
                </c:pt>
                <c:pt idx="5">
                  <c:v>131.649696723516</c:v>
                </c:pt>
                <c:pt idx="6">
                  <c:v>125.213182645176</c:v>
                </c:pt>
                <c:pt idx="7">
                  <c:v>122.906767571396</c:v>
                </c:pt>
                <c:pt idx="8">
                  <c:v>122.192875964524</c:v>
                </c:pt>
                <c:pt idx="9">
                  <c:v>121.857088172633</c:v>
                </c:pt>
                <c:pt idx="10">
                  <c:v>121.518626494514</c:v>
                </c:pt>
                <c:pt idx="11">
                  <c:v>121.032467552064</c:v>
                </c:pt>
                <c:pt idx="12">
                  <c:v>119.499167246868</c:v>
                </c:pt>
                <c:pt idx="13">
                  <c:v>105.593041776963</c:v>
                </c:pt>
              </c:numCache>
            </c:numRef>
          </c:xVal>
          <c:yVal>
            <c:numRef>
              <c:f>Sheet3!$B$2:$B$15</c:f>
              <c:numCache>
                <c:formatCode>0_ </c:formatCode>
                <c:ptCount val="14"/>
                <c:pt idx="0">
                  <c:v>1582</c:v>
                </c:pt>
                <c:pt idx="1">
                  <c:v>1568</c:v>
                </c:pt>
                <c:pt idx="2">
                  <c:v>1512</c:v>
                </c:pt>
                <c:pt idx="3">
                  <c:v>1426</c:v>
                </c:pt>
                <c:pt idx="4">
                  <c:v>1409</c:v>
                </c:pt>
                <c:pt idx="5">
                  <c:v>1315</c:v>
                </c:pt>
                <c:pt idx="6">
                  <c:v>1253</c:v>
                </c:pt>
                <c:pt idx="7">
                  <c:v>1227</c:v>
                </c:pt>
                <c:pt idx="8">
                  <c:v>1218</c:v>
                </c:pt>
                <c:pt idx="9">
                  <c:v>1216</c:v>
                </c:pt>
                <c:pt idx="10">
                  <c:v>1211</c:v>
                </c:pt>
                <c:pt idx="11">
                  <c:v>1208</c:v>
                </c:pt>
                <c:pt idx="12">
                  <c:v>1193</c:v>
                </c:pt>
                <c:pt idx="13">
                  <c:v>1052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883673"/>
        <c:axId val="54564948"/>
      </c:scatterChart>
      <c:valAx>
        <c:axId val="43488367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64948"/>
        <c:crosses val="autoZero"/>
        <c:crossBetween val="midCat"/>
      </c:valAx>
      <c:valAx>
        <c:axId val="545649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88367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d136f2-e012-466a-911a-35e2a10612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332105</xdr:colOff>
      <xdr:row>0</xdr:row>
      <xdr:rowOff>635</xdr:rowOff>
    </xdr:from>
    <xdr:to>
      <xdr:col>14</xdr:col>
      <xdr:colOff>281305</xdr:colOff>
      <xdr:row>15</xdr:row>
      <xdr:rowOff>0</xdr:rowOff>
    </xdr:to>
    <xdr:graphicFrame>
      <xdr:nvGraphicFramePr>
        <xdr:cNvPr id="2" name="图表 1"/>
        <xdr:cNvGraphicFramePr/>
      </xdr:nvGraphicFramePr>
      <xdr:xfrm>
        <a:off x="4637405" y="635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318135</xdr:colOff>
      <xdr:row>15</xdr:row>
      <xdr:rowOff>38735</xdr:rowOff>
    </xdr:from>
    <xdr:to>
      <xdr:col>14</xdr:col>
      <xdr:colOff>267335</xdr:colOff>
      <xdr:row>30</xdr:row>
      <xdr:rowOff>38735</xdr:rowOff>
    </xdr:to>
    <xdr:graphicFrame>
      <xdr:nvGraphicFramePr>
        <xdr:cNvPr id="3" name="图表 2"/>
        <xdr:cNvGraphicFramePr/>
      </xdr:nvGraphicFramePr>
      <xdr:xfrm>
        <a:off x="4623435" y="278193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6"/>
  <sheetViews>
    <sheetView tabSelected="1" zoomScale="130" zoomScaleNormal="130" workbookViewId="0">
      <pane ySplit="1" topLeftCell="A294" activePane="bottomLeft" state="frozen"/>
      <selection/>
      <selection pane="bottomLeft" activeCell="E304" sqref="E304"/>
    </sheetView>
  </sheetViews>
  <sheetFormatPr defaultColWidth="8.88888888888889" defaultRowHeight="14.4"/>
  <cols>
    <col min="1" max="2" width="8.88888888888889" style="1"/>
    <col min="3" max="3" width="10.6666666666667" style="2"/>
    <col min="4" max="4" width="8.88888888888889" style="2"/>
    <col min="5" max="6" width="9.44444444444444" style="4" customWidth="1"/>
    <col min="7" max="8" width="12.8888888888889"/>
    <col min="9" max="9" width="14.1111111111111" customWidth="1"/>
    <col min="10" max="10" width="12.8888888888889" customWidth="1"/>
    <col min="11" max="11" width="14.1111111111111" customWidth="1"/>
    <col min="12" max="12" width="12.8888888888889" customWidth="1"/>
    <col min="13" max="13" width="11.7777777777778" customWidth="1"/>
    <col min="14" max="14" width="14.1111111111111" customWidth="1"/>
    <col min="15" max="15" width="12.8888888888889" customWidth="1"/>
    <col min="16" max="16" width="12.8888888888889"/>
    <col min="17" max="18" width="9.07407407407407" customWidth="1"/>
    <col min="19" max="19" width="14.1111111111111" customWidth="1"/>
    <col min="20" max="21" width="12.8888888888889" customWidth="1"/>
    <col min="22" max="22" width="14.1111111111111" customWidth="1"/>
    <col min="23" max="23" width="12.8888888888889" customWidth="1"/>
    <col min="24" max="24" width="11.7777777777778" customWidth="1"/>
    <col min="25" max="25" width="11.7777777777778"/>
    <col min="26" max="28" width="14.1111111111111"/>
  </cols>
  <sheetData>
    <row r="1" s="5" customFormat="1" spans="1:24">
      <c r="A1" s="3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12</v>
      </c>
      <c r="V1" s="5" t="s">
        <v>13</v>
      </c>
      <c r="W1" s="5" t="s">
        <v>20</v>
      </c>
      <c r="X1" s="5" t="s">
        <v>21</v>
      </c>
    </row>
    <row r="2" spans="3:24">
      <c r="C2" s="2">
        <v>1486</v>
      </c>
      <c r="D2" s="2">
        <v>1338</v>
      </c>
      <c r="E2" s="4">
        <f t="shared" ref="E2:E65" si="0">P2*180/PI()</f>
        <v>-15.3822239348585</v>
      </c>
      <c r="F2" s="4">
        <f>IF(140-X2*180/PI()&gt;180,140-X2*180/PI()-360,140-X2*180/PI())</f>
        <v>164.23131602756</v>
      </c>
      <c r="G2">
        <f t="shared" ref="G2:G65" si="1">(1024-C2)/1024</f>
        <v>-0.451171875</v>
      </c>
      <c r="H2">
        <f t="shared" ref="H2:H65" si="2">(1024-D2)/1024</f>
        <v>-0.306640625</v>
      </c>
      <c r="I2">
        <f t="shared" ref="I2:I65" si="3">0.15303108*H2</f>
        <v>-0.046925546015625</v>
      </c>
      <c r="J2">
        <f t="shared" ref="J2:J65" si="4">1+1.002198664*I2^2</f>
        <v>1.00220684834209</v>
      </c>
      <c r="K2">
        <f t="shared" ref="K2:K65" si="5">-13.22138601</f>
        <v>-13.22138601</v>
      </c>
      <c r="L2">
        <f t="shared" ref="L2:L65" si="6">42.70126204</f>
        <v>42.70126204</v>
      </c>
      <c r="M2">
        <f t="shared" ref="M2:M65" si="7">(-K2-(K2^2-4*J2*L2)^0.5)/2/J2</f>
        <v>5.64651526015191</v>
      </c>
      <c r="N2">
        <f t="shared" ref="N2:N65" si="8">M2-6.610693007</f>
        <v>-0.964177746848093</v>
      </c>
      <c r="O2">
        <f>IF(H2&gt;=0,1,-1)*(1-N2^2)^0.5</f>
        <v>-0.265256993278094</v>
      </c>
      <c r="P2">
        <f t="shared" ref="P2:P65" si="9">ASIN(O2)</f>
        <v>-0.268470453942359</v>
      </c>
      <c r="Q2">
        <f t="shared" ref="Q2:Q65" si="10">0.15303108*G2</f>
        <v>-0.069043319296875</v>
      </c>
      <c r="R2">
        <f t="shared" ref="R2:R65" si="11">1+Q2^2</f>
        <v>1.00476697993953</v>
      </c>
      <c r="S2">
        <f t="shared" ref="S2:S65" si="12">-13.22138601</f>
        <v>-13.22138601</v>
      </c>
      <c r="T2">
        <f t="shared" ref="T2:T65" si="13">43.70126204-(COS(P2))^2</f>
        <v>42.7716233124829</v>
      </c>
      <c r="U2">
        <f t="shared" ref="U2:U65" si="14">(-S2-(S2^2-4*R2*T2)^0.5)/2/R2</f>
        <v>5.73146324460933</v>
      </c>
      <c r="V2">
        <f t="shared" ref="V2:V65" si="15">U2-6.610693007</f>
        <v>-0.879229762390674</v>
      </c>
      <c r="W2">
        <f>IF(G2&gt;=0,1,-1)*(1-(V2/COS(P2))^2)^0.5</f>
        <v>-0.410421508063016</v>
      </c>
      <c r="X2">
        <f t="shared" ref="X2:X65" si="16">ASIN(W2)</f>
        <v>-0.422916246772198</v>
      </c>
    </row>
    <row r="3" customFormat="1" spans="1:24">
      <c r="A3" s="1"/>
      <c r="B3" s="1"/>
      <c r="C3" s="2">
        <v>1608</v>
      </c>
      <c r="D3" s="2">
        <v>1224</v>
      </c>
      <c r="E3" s="4">
        <f t="shared" si="0"/>
        <v>-9.68948855702393</v>
      </c>
      <c r="F3" s="4">
        <f t="shared" ref="F3:F20" si="17">IF(140-X3*180/PI()&gt;180,140-X3*180/PI()-360,140-X3*180/PI())</f>
        <v>170.679940703055</v>
      </c>
      <c r="G3">
        <f t="shared" si="1"/>
        <v>-0.5703125</v>
      </c>
      <c r="H3">
        <f t="shared" si="2"/>
        <v>-0.1953125</v>
      </c>
      <c r="I3">
        <f t="shared" si="3"/>
        <v>-0.0298888828125</v>
      </c>
      <c r="J3">
        <f t="shared" si="4"/>
        <v>1.00089530948196</v>
      </c>
      <c r="K3">
        <f t="shared" si="5"/>
        <v>-13.22138601</v>
      </c>
      <c r="L3">
        <f t="shared" si="6"/>
        <v>42.70126204</v>
      </c>
      <c r="M3">
        <f t="shared" si="7"/>
        <v>5.62495864355759</v>
      </c>
      <c r="N3">
        <f t="shared" si="8"/>
        <v>-0.985734363442407</v>
      </c>
      <c r="O3">
        <f>IF(H3&gt;=0,1,-1)*(1-N3^2)^0.5</f>
        <v>-0.168308540272896</v>
      </c>
      <c r="P3">
        <f t="shared" si="9"/>
        <v>-0.169113478154382</v>
      </c>
      <c r="Q3">
        <f t="shared" si="10"/>
        <v>-0.0872755378125</v>
      </c>
      <c r="R3">
        <f t="shared" si="11"/>
        <v>1.00761701950046</v>
      </c>
      <c r="S3">
        <f t="shared" si="12"/>
        <v>-13.22138601</v>
      </c>
      <c r="T3">
        <f t="shared" si="13"/>
        <v>42.7295898047288</v>
      </c>
      <c r="U3">
        <f t="shared" si="14"/>
        <v>5.76293093573955</v>
      </c>
      <c r="V3">
        <f t="shared" si="15"/>
        <v>-0.847762071260452</v>
      </c>
      <c r="W3">
        <f>IF(G3&gt;=0,1,-1)*(1-(V3/COS(P3))^2)^0.5</f>
        <v>-0.510241851680316</v>
      </c>
      <c r="X3">
        <f t="shared" si="16"/>
        <v>-0.535465979584928</v>
      </c>
    </row>
    <row r="4" customFormat="1" spans="1:24">
      <c r="A4" s="1"/>
      <c r="B4" s="1"/>
      <c r="C4" s="2">
        <v>1118</v>
      </c>
      <c r="D4" s="2">
        <v>751</v>
      </c>
      <c r="E4" s="4">
        <f t="shared" si="0"/>
        <v>13.3121380455028</v>
      </c>
      <c r="F4" s="4">
        <f t="shared" si="17"/>
        <v>144.670696851796</v>
      </c>
      <c r="G4">
        <f t="shared" si="1"/>
        <v>-0.091796875</v>
      </c>
      <c r="H4">
        <f t="shared" si="2"/>
        <v>0.2666015625</v>
      </c>
      <c r="I4">
        <f t="shared" si="3"/>
        <v>0.0407983250390625</v>
      </c>
      <c r="J4">
        <f t="shared" si="4"/>
        <v>1.00166816300953</v>
      </c>
      <c r="K4">
        <f t="shared" si="5"/>
        <v>-13.22138601</v>
      </c>
      <c r="L4">
        <f t="shared" si="6"/>
        <v>42.70126204</v>
      </c>
      <c r="M4">
        <f t="shared" si="7"/>
        <v>5.63756289183494</v>
      </c>
      <c r="N4">
        <f t="shared" si="8"/>
        <v>-0.973130115165063</v>
      </c>
      <c r="O4">
        <f t="shared" ref="O4:O35" si="18">IF(H4&gt;=0,1,-1)*(1-N4^2)^0.5</f>
        <v>0.23025589885784</v>
      </c>
      <c r="P4">
        <f t="shared" si="9"/>
        <v>0.232340639374026</v>
      </c>
      <c r="Q4">
        <f t="shared" si="10"/>
        <v>-0.014047774921875</v>
      </c>
      <c r="R4">
        <f t="shared" si="11"/>
        <v>1.00019733998026</v>
      </c>
      <c r="S4">
        <f t="shared" si="12"/>
        <v>-13.22138601</v>
      </c>
      <c r="T4">
        <f t="shared" si="13"/>
        <v>42.7542798189588</v>
      </c>
      <c r="U4">
        <f t="shared" si="14"/>
        <v>5.6407944985124</v>
      </c>
      <c r="V4">
        <f t="shared" si="15"/>
        <v>-0.969898508487602</v>
      </c>
      <c r="W4">
        <f>IF(G4&gt;=0,1,-1)*(1-(V4/COS(P4))^2)^0.5</f>
        <v>-0.0814287812815331</v>
      </c>
      <c r="X4">
        <f t="shared" si="16"/>
        <v>-0.0815190384263794</v>
      </c>
    </row>
    <row r="5" customFormat="1" spans="1:24">
      <c r="A5" s="1"/>
      <c r="B5" s="1"/>
      <c r="C5" s="2">
        <v>671</v>
      </c>
      <c r="D5" s="2">
        <v>591</v>
      </c>
      <c r="E5" s="4">
        <f t="shared" si="0"/>
        <v>21.5929336527614</v>
      </c>
      <c r="F5" s="4">
        <f t="shared" si="17"/>
        <v>121.023890413292</v>
      </c>
      <c r="G5">
        <f t="shared" si="1"/>
        <v>0.3447265625</v>
      </c>
      <c r="H5">
        <f t="shared" si="2"/>
        <v>0.4228515625</v>
      </c>
      <c r="I5">
        <f t="shared" si="3"/>
        <v>0.0647094312890625</v>
      </c>
      <c r="J5">
        <f t="shared" si="4"/>
        <v>1.0041965169866</v>
      </c>
      <c r="K5">
        <f t="shared" si="5"/>
        <v>-13.22138601</v>
      </c>
      <c r="L5">
        <f t="shared" si="6"/>
        <v>42.70126204</v>
      </c>
      <c r="M5">
        <f t="shared" si="7"/>
        <v>5.68087112700451</v>
      </c>
      <c r="N5">
        <f t="shared" si="8"/>
        <v>-0.929821879995493</v>
      </c>
      <c r="O5">
        <f t="shared" si="18"/>
        <v>0.368009879597881</v>
      </c>
      <c r="P5">
        <f t="shared" si="9"/>
        <v>0.376867787405372</v>
      </c>
      <c r="Q5">
        <f t="shared" si="10"/>
        <v>0.0527538781640625</v>
      </c>
      <c r="R5">
        <f t="shared" si="11"/>
        <v>1.00278297166135</v>
      </c>
      <c r="S5">
        <f t="shared" si="12"/>
        <v>-13.22138601</v>
      </c>
      <c r="T5">
        <f t="shared" si="13"/>
        <v>42.8366933114817</v>
      </c>
      <c r="U5">
        <f t="shared" si="14"/>
        <v>5.73140299967131</v>
      </c>
      <c r="V5">
        <f t="shared" si="15"/>
        <v>-0.879290007328694</v>
      </c>
      <c r="W5">
        <f t="shared" ref="W5:W36" si="19">IF(G5&gt;=0,1,-1)*(1-(V5/COS(P5))^2)^0.5</f>
        <v>0.325173876717026</v>
      </c>
      <c r="X5">
        <f t="shared" si="16"/>
        <v>0.33119559150731</v>
      </c>
    </row>
    <row r="6" customFormat="1" spans="1:24">
      <c r="A6" s="1"/>
      <c r="B6" s="1"/>
      <c r="C6" s="2">
        <v>720</v>
      </c>
      <c r="D6" s="2">
        <v>428</v>
      </c>
      <c r="E6" s="4">
        <f t="shared" si="0"/>
        <v>30.8578180715011</v>
      </c>
      <c r="F6" s="4">
        <f t="shared" si="17"/>
        <v>122.144776186489</v>
      </c>
      <c r="G6">
        <f t="shared" si="1"/>
        <v>0.296875</v>
      </c>
      <c r="H6">
        <f t="shared" si="2"/>
        <v>0.58203125</v>
      </c>
      <c r="I6">
        <f t="shared" si="3"/>
        <v>0.08906887078125</v>
      </c>
      <c r="J6">
        <f t="shared" si="4"/>
        <v>1.00795070632364</v>
      </c>
      <c r="K6">
        <f t="shared" si="5"/>
        <v>-13.22138601</v>
      </c>
      <c r="L6">
        <f t="shared" si="6"/>
        <v>42.70126204</v>
      </c>
      <c r="M6">
        <f t="shared" si="7"/>
        <v>5.75225025782889</v>
      </c>
      <c r="N6">
        <f t="shared" si="8"/>
        <v>-0.85844274917111</v>
      </c>
      <c r="O6">
        <f t="shared" si="18"/>
        <v>0.512909393943557</v>
      </c>
      <c r="P6">
        <f t="shared" si="9"/>
        <v>0.538570525329102</v>
      </c>
      <c r="Q6">
        <f t="shared" si="10"/>
        <v>0.045431101875</v>
      </c>
      <c r="R6">
        <f t="shared" si="11"/>
        <v>1.00206398501758</v>
      </c>
      <c r="S6">
        <f t="shared" si="12"/>
        <v>-13.22138601</v>
      </c>
      <c r="T6">
        <f t="shared" si="13"/>
        <v>42.9643380863955</v>
      </c>
      <c r="U6">
        <f t="shared" si="14"/>
        <v>5.79359774519149</v>
      </c>
      <c r="V6">
        <f t="shared" si="15"/>
        <v>-0.817095261808507</v>
      </c>
      <c r="W6">
        <f t="shared" si="19"/>
        <v>0.306612860719259</v>
      </c>
      <c r="X6">
        <f t="shared" si="16"/>
        <v>0.311632444226272</v>
      </c>
    </row>
    <row r="7" customFormat="1" spans="1:24">
      <c r="A7" s="1"/>
      <c r="B7" s="1"/>
      <c r="C7" s="2"/>
      <c r="D7" s="2"/>
      <c r="E7" s="4" t="e">
        <f t="shared" si="0"/>
        <v>#NUM!</v>
      </c>
      <c r="F7" s="4" t="e">
        <f t="shared" si="17"/>
        <v>#NUM!</v>
      </c>
      <c r="G7">
        <f t="shared" si="1"/>
        <v>1</v>
      </c>
      <c r="H7">
        <f t="shared" si="2"/>
        <v>1</v>
      </c>
      <c r="I7">
        <f t="shared" si="3"/>
        <v>0.15303108</v>
      </c>
      <c r="J7">
        <f t="shared" si="4"/>
        <v>1.02347000088402</v>
      </c>
      <c r="K7">
        <f t="shared" si="5"/>
        <v>-13.22138601</v>
      </c>
      <c r="L7">
        <f t="shared" si="6"/>
        <v>42.70126204</v>
      </c>
      <c r="M7" t="e">
        <f t="shared" si="7"/>
        <v>#NUM!</v>
      </c>
      <c r="N7" t="e">
        <f t="shared" si="8"/>
        <v>#NUM!</v>
      </c>
      <c r="O7" t="e">
        <f t="shared" si="18"/>
        <v>#NUM!</v>
      </c>
      <c r="P7" t="e">
        <f t="shared" si="9"/>
        <v>#NUM!</v>
      </c>
      <c r="Q7">
        <f t="shared" si="10"/>
        <v>0.15303108</v>
      </c>
      <c r="R7">
        <f t="shared" si="11"/>
        <v>1.02341851144597</v>
      </c>
      <c r="S7">
        <f t="shared" si="12"/>
        <v>-13.22138601</v>
      </c>
      <c r="T7" t="e">
        <f t="shared" si="13"/>
        <v>#NUM!</v>
      </c>
      <c r="U7" t="e">
        <f t="shared" si="14"/>
        <v>#NUM!</v>
      </c>
      <c r="V7" t="e">
        <f t="shared" si="15"/>
        <v>#NUM!</v>
      </c>
      <c r="W7" t="e">
        <f t="shared" si="19"/>
        <v>#NUM!</v>
      </c>
      <c r="X7" t="e">
        <f t="shared" si="16"/>
        <v>#NUM!</v>
      </c>
    </row>
    <row r="8" customFormat="1" spans="1:24">
      <c r="A8" s="1">
        <f t="shared" ref="A8:A16" si="20">E8*10-20</f>
        <v>-83.2002482913567</v>
      </c>
      <c r="B8" s="1">
        <f t="shared" ref="B8:B16" si="21">F8*10+2</f>
        <v>1715.17564800534</v>
      </c>
      <c r="C8" s="2">
        <v>1624</v>
      </c>
      <c r="D8" s="2">
        <v>1155</v>
      </c>
      <c r="E8" s="4">
        <f t="shared" si="0"/>
        <v>-6.32002482913567</v>
      </c>
      <c r="F8" s="4">
        <f t="shared" si="17"/>
        <v>171.317564800534</v>
      </c>
      <c r="G8">
        <f t="shared" si="1"/>
        <v>-0.5859375</v>
      </c>
      <c r="H8">
        <f t="shared" si="2"/>
        <v>-0.1279296875</v>
      </c>
      <c r="I8">
        <f t="shared" si="3"/>
        <v>-0.0195772182421875</v>
      </c>
      <c r="J8">
        <f t="shared" si="4"/>
        <v>1.0003841101505</v>
      </c>
      <c r="K8">
        <f t="shared" si="5"/>
        <v>-13.22138601</v>
      </c>
      <c r="L8">
        <f t="shared" si="6"/>
        <v>42.70126204</v>
      </c>
      <c r="M8">
        <f t="shared" si="7"/>
        <v>5.61677046430405</v>
      </c>
      <c r="N8">
        <f t="shared" si="8"/>
        <v>-0.993922542695948</v>
      </c>
      <c r="O8">
        <f t="shared" si="18"/>
        <v>-0.110081692941293</v>
      </c>
      <c r="P8">
        <f t="shared" si="9"/>
        <v>-0.110305242076209</v>
      </c>
      <c r="Q8">
        <f t="shared" si="10"/>
        <v>-0.0896666484375</v>
      </c>
      <c r="R8">
        <f t="shared" si="11"/>
        <v>1.00804010784201</v>
      </c>
      <c r="S8">
        <f t="shared" si="12"/>
        <v>-13.22138601</v>
      </c>
      <c r="T8">
        <f t="shared" si="13"/>
        <v>42.7133800191208</v>
      </c>
      <c r="U8">
        <f t="shared" si="14"/>
        <v>5.76158545155039</v>
      </c>
      <c r="V8">
        <f t="shared" si="15"/>
        <v>-0.849107555449612</v>
      </c>
      <c r="W8">
        <f t="shared" si="19"/>
        <v>-0.519781033439417</v>
      </c>
      <c r="X8">
        <f t="shared" si="16"/>
        <v>-0.546594619476003</v>
      </c>
    </row>
    <row r="9" customFormat="1" spans="1:24">
      <c r="A9" s="1">
        <f t="shared" si="20"/>
        <v>-88.5446980999697</v>
      </c>
      <c r="B9" s="1">
        <f t="shared" si="21"/>
        <v>1722.4418124531</v>
      </c>
      <c r="C9" s="2">
        <v>1635</v>
      </c>
      <c r="D9" s="2">
        <v>1166</v>
      </c>
      <c r="E9" s="4">
        <f t="shared" si="0"/>
        <v>-6.85446980999697</v>
      </c>
      <c r="F9" s="4">
        <f t="shared" si="17"/>
        <v>172.04418124531</v>
      </c>
      <c r="G9">
        <f t="shared" si="1"/>
        <v>-0.5966796875</v>
      </c>
      <c r="H9">
        <f t="shared" si="2"/>
        <v>-0.138671875</v>
      </c>
      <c r="I9">
        <f t="shared" si="3"/>
        <v>-0.021221106796875</v>
      </c>
      <c r="J9">
        <f t="shared" si="4"/>
        <v>1.00045132550986</v>
      </c>
      <c r="K9">
        <f t="shared" si="5"/>
        <v>-13.22138601</v>
      </c>
      <c r="L9">
        <f t="shared" si="6"/>
        <v>42.70126204</v>
      </c>
      <c r="M9">
        <f t="shared" si="7"/>
        <v>5.61784051158333</v>
      </c>
      <c r="N9">
        <f t="shared" si="8"/>
        <v>-0.992852495416668</v>
      </c>
      <c r="O9">
        <f t="shared" si="18"/>
        <v>-0.119347904652305</v>
      </c>
      <c r="P9">
        <f t="shared" si="9"/>
        <v>-0.119633066662997</v>
      </c>
      <c r="Q9">
        <f t="shared" si="10"/>
        <v>-0.0913105369921875</v>
      </c>
      <c r="R9">
        <f t="shared" si="11"/>
        <v>1.0083376141658</v>
      </c>
      <c r="S9">
        <f t="shared" si="12"/>
        <v>-13.22138601</v>
      </c>
      <c r="T9">
        <f t="shared" si="13"/>
        <v>42.7155059623449</v>
      </c>
      <c r="U9">
        <f t="shared" si="14"/>
        <v>5.76911229322284</v>
      </c>
      <c r="V9">
        <f t="shared" si="15"/>
        <v>-0.841580713777155</v>
      </c>
      <c r="W9">
        <f t="shared" si="19"/>
        <v>-0.530573043460814</v>
      </c>
      <c r="X9">
        <f t="shared" si="16"/>
        <v>-0.55927646883647</v>
      </c>
    </row>
    <row r="10" customFormat="1" spans="1:24">
      <c r="A10" s="1">
        <f t="shared" si="20"/>
        <v>-92.9242423046362</v>
      </c>
      <c r="B10" s="1">
        <f t="shared" si="21"/>
        <v>1724.72927099231</v>
      </c>
      <c r="C10" s="2">
        <v>1638</v>
      </c>
      <c r="D10" s="2">
        <v>1175</v>
      </c>
      <c r="E10" s="4">
        <f t="shared" si="0"/>
        <v>-7.29242423046362</v>
      </c>
      <c r="F10" s="4">
        <f t="shared" si="17"/>
        <v>172.272927099231</v>
      </c>
      <c r="G10">
        <f t="shared" si="1"/>
        <v>-0.599609375</v>
      </c>
      <c r="H10">
        <f t="shared" si="2"/>
        <v>-0.1474609375</v>
      </c>
      <c r="I10">
        <f t="shared" si="3"/>
        <v>-0.0225661065234375</v>
      </c>
      <c r="J10">
        <f t="shared" si="4"/>
        <v>1.00051034878746</v>
      </c>
      <c r="K10">
        <f t="shared" si="5"/>
        <v>-13.22138601</v>
      </c>
      <c r="L10">
        <f t="shared" si="6"/>
        <v>42.70126204</v>
      </c>
      <c r="M10">
        <f t="shared" si="7"/>
        <v>5.61878177232836</v>
      </c>
      <c r="N10">
        <f t="shared" si="8"/>
        <v>-0.991911234671642</v>
      </c>
      <c r="O10">
        <f t="shared" si="18"/>
        <v>-0.126933457103234</v>
      </c>
      <c r="P10">
        <f t="shared" si="9"/>
        <v>-0.127276813273804</v>
      </c>
      <c r="Q10">
        <f t="shared" si="10"/>
        <v>-0.091758870234375</v>
      </c>
      <c r="R10">
        <f t="shared" si="11"/>
        <v>1.00841969026669</v>
      </c>
      <c r="S10">
        <f t="shared" si="12"/>
        <v>-13.22138601</v>
      </c>
      <c r="T10">
        <f t="shared" si="13"/>
        <v>42.7173741425322</v>
      </c>
      <c r="U10">
        <f t="shared" si="14"/>
        <v>5.77201794680576</v>
      </c>
      <c r="V10">
        <f t="shared" si="15"/>
        <v>-0.838675060194236</v>
      </c>
      <c r="W10">
        <f t="shared" si="19"/>
        <v>-0.533952894022216</v>
      </c>
      <c r="X10">
        <f t="shared" si="16"/>
        <v>-0.563268837137676</v>
      </c>
    </row>
    <row r="11" customFormat="1" spans="1:24">
      <c r="A11" s="1">
        <f t="shared" si="20"/>
        <v>-97.3103643344217</v>
      </c>
      <c r="B11" s="1">
        <f t="shared" si="21"/>
        <v>1723.29652562703</v>
      </c>
      <c r="C11" s="2">
        <v>1635</v>
      </c>
      <c r="D11" s="2">
        <v>1184</v>
      </c>
      <c r="E11" s="4">
        <f t="shared" si="0"/>
        <v>-7.73103643344217</v>
      </c>
      <c r="F11" s="4">
        <f t="shared" si="17"/>
        <v>172.129652562703</v>
      </c>
      <c r="G11">
        <f t="shared" si="1"/>
        <v>-0.5966796875</v>
      </c>
      <c r="H11">
        <f t="shared" si="2"/>
        <v>-0.15625</v>
      </c>
      <c r="I11">
        <f t="shared" si="3"/>
        <v>-0.02391110625</v>
      </c>
      <c r="J11">
        <f t="shared" si="4"/>
        <v>1.00057299806846</v>
      </c>
      <c r="K11">
        <f t="shared" si="5"/>
        <v>-13.22138601</v>
      </c>
      <c r="L11">
        <f t="shared" si="6"/>
        <v>42.70126204</v>
      </c>
      <c r="M11">
        <f t="shared" si="7"/>
        <v>5.61978253137398</v>
      </c>
      <c r="N11">
        <f t="shared" si="8"/>
        <v>-0.990910475626024</v>
      </c>
      <c r="O11">
        <f t="shared" si="18"/>
        <v>-0.134522969394101</v>
      </c>
      <c r="P11">
        <f t="shared" si="9"/>
        <v>-0.134932040355205</v>
      </c>
      <c r="Q11">
        <f t="shared" si="10"/>
        <v>-0.0913105369921875</v>
      </c>
      <c r="R11">
        <f t="shared" si="11"/>
        <v>1.0083376141658</v>
      </c>
      <c r="S11">
        <f t="shared" si="12"/>
        <v>-13.22138601</v>
      </c>
      <c r="T11">
        <f t="shared" si="13"/>
        <v>42.7193584692946</v>
      </c>
      <c r="U11">
        <f t="shared" si="14"/>
        <v>5.77154365088246</v>
      </c>
      <c r="V11">
        <f t="shared" si="15"/>
        <v>-0.839149356117539</v>
      </c>
      <c r="W11">
        <f t="shared" si="19"/>
        <v>-0.53183692345021</v>
      </c>
      <c r="X11">
        <f t="shared" si="16"/>
        <v>-0.560768224741003</v>
      </c>
    </row>
    <row r="12" customFormat="1" spans="1:24">
      <c r="A12" s="1">
        <f t="shared" si="20"/>
        <v>-102.680727395612</v>
      </c>
      <c r="B12" s="1">
        <f t="shared" si="21"/>
        <v>1717.02315507947</v>
      </c>
      <c r="C12" s="2">
        <v>1624</v>
      </c>
      <c r="D12" s="2">
        <v>1195</v>
      </c>
      <c r="E12" s="4">
        <f t="shared" si="0"/>
        <v>-8.2680727395612</v>
      </c>
      <c r="F12" s="4">
        <f t="shared" si="17"/>
        <v>171.502315507947</v>
      </c>
      <c r="G12">
        <f t="shared" si="1"/>
        <v>-0.5859375</v>
      </c>
      <c r="H12">
        <f t="shared" si="2"/>
        <v>-0.1669921875</v>
      </c>
      <c r="I12">
        <f t="shared" si="3"/>
        <v>-0.0255549948046875</v>
      </c>
      <c r="J12">
        <f t="shared" si="4"/>
        <v>1.00065449361405</v>
      </c>
      <c r="K12">
        <f t="shared" si="5"/>
        <v>-13.22138601</v>
      </c>
      <c r="L12">
        <f t="shared" si="6"/>
        <v>42.70126204</v>
      </c>
      <c r="M12">
        <f t="shared" si="7"/>
        <v>5.62108693111945</v>
      </c>
      <c r="N12">
        <f t="shared" si="8"/>
        <v>-0.989606075880546</v>
      </c>
      <c r="O12">
        <f t="shared" si="18"/>
        <v>-0.143804779407035</v>
      </c>
      <c r="P12">
        <f t="shared" si="9"/>
        <v>-0.144305092099731</v>
      </c>
      <c r="Q12">
        <f t="shared" si="10"/>
        <v>-0.0896666484375</v>
      </c>
      <c r="R12">
        <f t="shared" si="11"/>
        <v>1.00804010784201</v>
      </c>
      <c r="S12">
        <f t="shared" si="12"/>
        <v>-13.22138601</v>
      </c>
      <c r="T12">
        <f t="shared" si="13"/>
        <v>42.7219418545803</v>
      </c>
      <c r="U12">
        <f t="shared" si="14"/>
        <v>5.76693601688641</v>
      </c>
      <c r="V12">
        <f t="shared" si="15"/>
        <v>-0.843756990113591</v>
      </c>
      <c r="W12">
        <f t="shared" si="19"/>
        <v>-0.522533022238745</v>
      </c>
      <c r="X12">
        <f t="shared" si="16"/>
        <v>-0.549819127615739</v>
      </c>
    </row>
    <row r="13" customFormat="1" spans="1:24">
      <c r="A13" s="1">
        <f t="shared" si="20"/>
        <v>-105.614701293421</v>
      </c>
      <c r="B13" s="1">
        <f t="shared" si="21"/>
        <v>1715.48848276189</v>
      </c>
      <c r="C13" s="2">
        <v>1621</v>
      </c>
      <c r="D13" s="2">
        <v>1201</v>
      </c>
      <c r="E13" s="4">
        <f t="shared" si="0"/>
        <v>-8.56147012934209</v>
      </c>
      <c r="F13" s="4">
        <f t="shared" si="17"/>
        <v>171.348848276189</v>
      </c>
      <c r="G13">
        <f t="shared" si="1"/>
        <v>-0.5830078125</v>
      </c>
      <c r="H13">
        <f t="shared" si="2"/>
        <v>-0.1728515625</v>
      </c>
      <c r="I13">
        <f t="shared" si="3"/>
        <v>-0.0264516612890625</v>
      </c>
      <c r="J13">
        <f t="shared" si="4"/>
        <v>1.00070122876901</v>
      </c>
      <c r="K13">
        <f t="shared" si="5"/>
        <v>-13.22138601</v>
      </c>
      <c r="L13">
        <f t="shared" si="6"/>
        <v>42.70126204</v>
      </c>
      <c r="M13">
        <f t="shared" si="7"/>
        <v>5.62183629103184</v>
      </c>
      <c r="N13">
        <f t="shared" si="8"/>
        <v>-0.988856715968159</v>
      </c>
      <c r="O13">
        <f t="shared" si="18"/>
        <v>-0.148870397610365</v>
      </c>
      <c r="P13">
        <f t="shared" si="9"/>
        <v>-0.149425842568164</v>
      </c>
      <c r="Q13">
        <f t="shared" si="10"/>
        <v>-0.0892183151953125</v>
      </c>
      <c r="R13">
        <f t="shared" si="11"/>
        <v>1.00795990776629</v>
      </c>
      <c r="S13">
        <f t="shared" si="12"/>
        <v>-13.22138601</v>
      </c>
      <c r="T13">
        <f t="shared" si="13"/>
        <v>42.7234244352847</v>
      </c>
      <c r="U13">
        <f t="shared" si="14"/>
        <v>5.76619394861763</v>
      </c>
      <c r="V13">
        <f t="shared" si="15"/>
        <v>-0.844499058382374</v>
      </c>
      <c r="W13">
        <f t="shared" si="19"/>
        <v>-0.520247403181505</v>
      </c>
      <c r="X13">
        <f t="shared" si="16"/>
        <v>-0.547140619127645</v>
      </c>
    </row>
    <row r="14" customFormat="1" spans="1:24">
      <c r="A14" s="1">
        <f t="shared" si="20"/>
        <v>-109.532087088705</v>
      </c>
      <c r="B14" s="1">
        <f t="shared" si="21"/>
        <v>1712.22913452058</v>
      </c>
      <c r="C14" s="2">
        <v>1615</v>
      </c>
      <c r="D14" s="2">
        <v>1209</v>
      </c>
      <c r="E14" s="4">
        <f t="shared" si="0"/>
        <v>-8.95320870887049</v>
      </c>
      <c r="F14" s="4">
        <f t="shared" si="17"/>
        <v>171.022913452058</v>
      </c>
      <c r="G14">
        <f t="shared" si="1"/>
        <v>-0.5771484375</v>
      </c>
      <c r="H14">
        <f t="shared" si="2"/>
        <v>-0.1806640625</v>
      </c>
      <c r="I14">
        <f t="shared" si="3"/>
        <v>-0.0276472166015625</v>
      </c>
      <c r="J14">
        <f t="shared" si="4"/>
        <v>1.00076604917551</v>
      </c>
      <c r="K14">
        <f t="shared" si="5"/>
        <v>-13.22138601</v>
      </c>
      <c r="L14">
        <f t="shared" si="6"/>
        <v>42.70126204</v>
      </c>
      <c r="M14">
        <f t="shared" si="7"/>
        <v>5.62287724168458</v>
      </c>
      <c r="N14">
        <f t="shared" si="8"/>
        <v>-0.987815765315418</v>
      </c>
      <c r="O14">
        <f t="shared" si="18"/>
        <v>-0.155627805337979</v>
      </c>
      <c r="P14">
        <f t="shared" si="9"/>
        <v>-0.15626297058802</v>
      </c>
      <c r="Q14">
        <f t="shared" si="10"/>
        <v>-0.0883216487109375</v>
      </c>
      <c r="R14">
        <f t="shared" si="11"/>
        <v>1.00780071363102</v>
      </c>
      <c r="S14">
        <f t="shared" si="12"/>
        <v>-13.22138601</v>
      </c>
      <c r="T14">
        <f t="shared" si="13"/>
        <v>42.7254820537943</v>
      </c>
      <c r="U14">
        <f t="shared" si="14"/>
        <v>5.76417316349683</v>
      </c>
      <c r="V14">
        <f t="shared" si="15"/>
        <v>-0.846519843503168</v>
      </c>
      <c r="W14">
        <f t="shared" si="19"/>
        <v>-0.515380827931905</v>
      </c>
      <c r="X14">
        <f t="shared" si="16"/>
        <v>-0.541451983299655</v>
      </c>
    </row>
    <row r="15" customFormat="1" spans="1:24">
      <c r="A15" s="1">
        <f t="shared" si="20"/>
        <v>-99.7500957911627</v>
      </c>
      <c r="B15" s="1">
        <f t="shared" si="21"/>
        <v>1702.64517603725</v>
      </c>
      <c r="C15" s="2">
        <v>1601</v>
      </c>
      <c r="D15" s="2">
        <v>1189</v>
      </c>
      <c r="E15" s="4">
        <f t="shared" si="0"/>
        <v>-7.97500957911627</v>
      </c>
      <c r="F15" s="4">
        <f t="shared" si="17"/>
        <v>170.064517603725</v>
      </c>
      <c r="G15">
        <f t="shared" si="1"/>
        <v>-0.5634765625</v>
      </c>
      <c r="H15">
        <f t="shared" si="2"/>
        <v>-0.1611328125</v>
      </c>
      <c r="I15">
        <f t="shared" si="3"/>
        <v>-0.0246583283203125</v>
      </c>
      <c r="J15">
        <f t="shared" si="4"/>
        <v>1.00060937001616</v>
      </c>
      <c r="K15">
        <f t="shared" si="5"/>
        <v>-13.22138601</v>
      </c>
      <c r="L15">
        <f t="shared" si="6"/>
        <v>42.70126204</v>
      </c>
      <c r="M15">
        <f t="shared" si="7"/>
        <v>5.62036433000156</v>
      </c>
      <c r="N15">
        <f t="shared" si="8"/>
        <v>-0.990328676998439</v>
      </c>
      <c r="O15">
        <f t="shared" si="18"/>
        <v>-0.138741167338756</v>
      </c>
      <c r="P15">
        <f t="shared" si="9"/>
        <v>-0.139190175033666</v>
      </c>
      <c r="Q15">
        <f t="shared" si="10"/>
        <v>-0.0862294269140625</v>
      </c>
      <c r="R15">
        <f t="shared" si="11"/>
        <v>1.00743551406593</v>
      </c>
      <c r="S15">
        <f t="shared" si="12"/>
        <v>-13.22138601</v>
      </c>
      <c r="T15">
        <f t="shared" si="13"/>
        <v>42.7205111515145</v>
      </c>
      <c r="U15">
        <f t="shared" si="14"/>
        <v>5.75360133537978</v>
      </c>
      <c r="V15">
        <f t="shared" si="15"/>
        <v>-0.857091671620218</v>
      </c>
      <c r="W15">
        <f t="shared" si="19"/>
        <v>-0.50097486603832</v>
      </c>
      <c r="X15">
        <f t="shared" si="16"/>
        <v>-0.524724820208799</v>
      </c>
    </row>
    <row r="16" customFormat="1" spans="1:24">
      <c r="A16" s="1">
        <f t="shared" si="20"/>
        <v>-91.9504565264177</v>
      </c>
      <c r="B16" s="1">
        <f t="shared" si="21"/>
        <v>1706.1547139569</v>
      </c>
      <c r="C16" s="2">
        <v>1608</v>
      </c>
      <c r="D16" s="2">
        <v>1173</v>
      </c>
      <c r="E16" s="4">
        <f t="shared" si="0"/>
        <v>-7.19504565264177</v>
      </c>
      <c r="F16" s="4">
        <f t="shared" si="17"/>
        <v>170.41547139569</v>
      </c>
      <c r="G16">
        <f t="shared" si="1"/>
        <v>-0.5703125</v>
      </c>
      <c r="H16">
        <f t="shared" si="2"/>
        <v>-0.1455078125</v>
      </c>
      <c r="I16">
        <f t="shared" si="3"/>
        <v>-0.0222672176953125</v>
      </c>
      <c r="J16">
        <f t="shared" si="4"/>
        <v>1.00049691914523</v>
      </c>
      <c r="K16">
        <f t="shared" si="5"/>
        <v>-13.22138601</v>
      </c>
      <c r="L16">
        <f t="shared" si="6"/>
        <v>42.70126204</v>
      </c>
      <c r="M16">
        <f t="shared" si="7"/>
        <v>5.61856747187075</v>
      </c>
      <c r="N16">
        <f t="shared" si="8"/>
        <v>-0.99212553512925</v>
      </c>
      <c r="O16">
        <f t="shared" si="18"/>
        <v>-0.125247445261368</v>
      </c>
      <c r="P16">
        <f t="shared" si="9"/>
        <v>-0.125577236469903</v>
      </c>
      <c r="Q16">
        <f t="shared" si="10"/>
        <v>-0.0872755378125</v>
      </c>
      <c r="R16">
        <f t="shared" si="11"/>
        <v>1.00761701950046</v>
      </c>
      <c r="S16">
        <f t="shared" si="12"/>
        <v>-13.22138601</v>
      </c>
      <c r="T16">
        <f t="shared" si="13"/>
        <v>42.7169489625445</v>
      </c>
      <c r="U16">
        <f t="shared" si="14"/>
        <v>5.75510676926443</v>
      </c>
      <c r="V16">
        <f t="shared" si="15"/>
        <v>-0.855586237735568</v>
      </c>
      <c r="W16">
        <f t="shared" si="19"/>
        <v>-0.506266647471192</v>
      </c>
      <c r="X16">
        <f t="shared" si="16"/>
        <v>-0.530850119400941</v>
      </c>
    </row>
    <row r="17" customFormat="1" spans="1:24">
      <c r="A17" s="1">
        <f>E17*10-4</f>
        <v>-180.912490567343</v>
      </c>
      <c r="B17" s="1">
        <f>F17*10-21</f>
        <v>1619.75433937517</v>
      </c>
      <c r="C17" s="2">
        <v>1477</v>
      </c>
      <c r="D17" s="2">
        <v>1383</v>
      </c>
      <c r="E17" s="4">
        <f t="shared" si="0"/>
        <v>-17.6912490567343</v>
      </c>
      <c r="F17" s="4">
        <f t="shared" si="17"/>
        <v>164.075433937517</v>
      </c>
      <c r="G17">
        <f t="shared" si="1"/>
        <v>-0.4423828125</v>
      </c>
      <c r="H17">
        <f t="shared" si="2"/>
        <v>-0.3505859375</v>
      </c>
      <c r="I17">
        <f t="shared" si="3"/>
        <v>-0.0536505446484375</v>
      </c>
      <c r="J17">
        <f t="shared" si="4"/>
        <v>1.00288470953363</v>
      </c>
      <c r="K17">
        <f t="shared" si="5"/>
        <v>-13.22138601</v>
      </c>
      <c r="L17">
        <f t="shared" si="6"/>
        <v>42.70126204</v>
      </c>
      <c r="M17">
        <f t="shared" si="7"/>
        <v>5.65798510104573</v>
      </c>
      <c r="N17">
        <f t="shared" si="8"/>
        <v>-0.952707905954266</v>
      </c>
      <c r="O17">
        <f t="shared" si="18"/>
        <v>-0.3038875547505</v>
      </c>
      <c r="P17">
        <f t="shared" si="9"/>
        <v>-0.308770544830355</v>
      </c>
      <c r="Q17">
        <f t="shared" si="10"/>
        <v>-0.0676983195703125</v>
      </c>
      <c r="R17">
        <f t="shared" si="11"/>
        <v>1.00458306247264</v>
      </c>
      <c r="S17">
        <f t="shared" si="12"/>
        <v>-13.22138601</v>
      </c>
      <c r="T17">
        <f t="shared" si="13"/>
        <v>42.7936096859322</v>
      </c>
      <c r="U17">
        <f t="shared" si="14"/>
        <v>5.74086195391399</v>
      </c>
      <c r="V17">
        <f t="shared" si="15"/>
        <v>-0.869831053086013</v>
      </c>
      <c r="W17">
        <f t="shared" si="19"/>
        <v>-0.407939037288928</v>
      </c>
      <c r="X17">
        <f t="shared" si="16"/>
        <v>-0.420195591056057</v>
      </c>
    </row>
    <row r="18" customFormat="1" spans="1:24">
      <c r="A18" s="1">
        <f>E18*10-4</f>
        <v>-186.103511422169</v>
      </c>
      <c r="B18" s="1">
        <f>F18*10-21</f>
        <v>1619.47853322442</v>
      </c>
      <c r="C18" s="2">
        <v>1475</v>
      </c>
      <c r="D18" s="2">
        <v>1393</v>
      </c>
      <c r="E18" s="4">
        <f t="shared" si="0"/>
        <v>-18.2103511422169</v>
      </c>
      <c r="F18" s="4">
        <f t="shared" si="17"/>
        <v>164.047853322442</v>
      </c>
      <c r="G18">
        <f t="shared" si="1"/>
        <v>-0.4404296875</v>
      </c>
      <c r="H18">
        <f t="shared" si="2"/>
        <v>-0.3603515625</v>
      </c>
      <c r="I18">
        <f t="shared" si="3"/>
        <v>-0.0551449887890625</v>
      </c>
      <c r="J18">
        <f t="shared" si="4"/>
        <v>1.00304765585935</v>
      </c>
      <c r="K18">
        <f t="shared" si="5"/>
        <v>-13.22138601</v>
      </c>
      <c r="L18">
        <f t="shared" si="6"/>
        <v>42.70126204</v>
      </c>
      <c r="M18">
        <f t="shared" si="7"/>
        <v>5.66077739787686</v>
      </c>
      <c r="N18">
        <f t="shared" si="8"/>
        <v>-0.949915609123139</v>
      </c>
      <c r="O18">
        <f t="shared" si="18"/>
        <v>-0.312506536802377</v>
      </c>
      <c r="P18">
        <f t="shared" si="9"/>
        <v>-0.317830585375995</v>
      </c>
      <c r="Q18">
        <f t="shared" si="10"/>
        <v>-0.0673994307421875</v>
      </c>
      <c r="R18">
        <f t="shared" si="11"/>
        <v>1.00454268326437</v>
      </c>
      <c r="S18">
        <f t="shared" si="12"/>
        <v>-13.22138601</v>
      </c>
      <c r="T18">
        <f t="shared" si="13"/>
        <v>42.7989223755442</v>
      </c>
      <c r="U18">
        <f t="shared" si="14"/>
        <v>5.74322491146516</v>
      </c>
      <c r="V18">
        <f t="shared" si="15"/>
        <v>-0.867468095534837</v>
      </c>
      <c r="W18">
        <f t="shared" si="19"/>
        <v>-0.407499492497137</v>
      </c>
      <c r="X18">
        <f t="shared" si="16"/>
        <v>-0.419714218513279</v>
      </c>
    </row>
    <row r="19" customFormat="1" spans="1:24">
      <c r="A19" s="1">
        <f>E19*10-4</f>
        <v>-188.186504637651</v>
      </c>
      <c r="B19" s="1">
        <f>F19*10-21</f>
        <v>1629.85644246362</v>
      </c>
      <c r="C19" s="2">
        <v>1492</v>
      </c>
      <c r="D19" s="2">
        <v>1397</v>
      </c>
      <c r="E19" s="4">
        <f t="shared" si="0"/>
        <v>-18.4186504637651</v>
      </c>
      <c r="F19" s="4">
        <f t="shared" si="17"/>
        <v>165.085644246362</v>
      </c>
      <c r="G19">
        <f t="shared" si="1"/>
        <v>-0.45703125</v>
      </c>
      <c r="H19">
        <f t="shared" si="2"/>
        <v>-0.3642578125</v>
      </c>
      <c r="I19">
        <f t="shared" si="3"/>
        <v>-0.0557427664453125</v>
      </c>
      <c r="J19">
        <f t="shared" si="4"/>
        <v>1.00311408782291</v>
      </c>
      <c r="K19">
        <f t="shared" si="5"/>
        <v>-13.22138601</v>
      </c>
      <c r="L19">
        <f t="shared" si="6"/>
        <v>42.70126204</v>
      </c>
      <c r="M19">
        <f t="shared" si="7"/>
        <v>5.66191979317345</v>
      </c>
      <c r="N19">
        <f t="shared" si="8"/>
        <v>-0.948773213826552</v>
      </c>
      <c r="O19">
        <f t="shared" si="18"/>
        <v>-0.315957890746909</v>
      </c>
      <c r="P19">
        <f t="shared" si="9"/>
        <v>-0.321466094366681</v>
      </c>
      <c r="Q19">
        <f t="shared" si="10"/>
        <v>-0.06993998578125</v>
      </c>
      <c r="R19">
        <f t="shared" si="11"/>
        <v>1.00489160161108</v>
      </c>
      <c r="S19">
        <f t="shared" si="12"/>
        <v>-13.22138601</v>
      </c>
      <c r="T19">
        <f t="shared" si="13"/>
        <v>42.8010914287252</v>
      </c>
      <c r="U19">
        <f t="shared" si="14"/>
        <v>5.75141277349077</v>
      </c>
      <c r="V19">
        <f t="shared" si="15"/>
        <v>-0.859280233509234</v>
      </c>
      <c r="W19">
        <f t="shared" si="19"/>
        <v>-0.423972514490396</v>
      </c>
      <c r="X19">
        <f t="shared" si="16"/>
        <v>-0.437827087082992</v>
      </c>
    </row>
    <row r="20" customFormat="1" spans="1:24">
      <c r="A20" s="1">
        <f>E20*10-4</f>
        <v>-191.318236943063</v>
      </c>
      <c r="B20" s="1">
        <f>F20*10-21</f>
        <v>1631.63175846077</v>
      </c>
      <c r="C20" s="2">
        <v>1494</v>
      </c>
      <c r="D20" s="2">
        <v>1403</v>
      </c>
      <c r="E20" s="4">
        <f t="shared" si="0"/>
        <v>-18.7318236943063</v>
      </c>
      <c r="F20" s="4">
        <f t="shared" si="17"/>
        <v>165.263175846077</v>
      </c>
      <c r="G20">
        <f t="shared" si="1"/>
        <v>-0.458984375</v>
      </c>
      <c r="H20">
        <f t="shared" si="2"/>
        <v>-0.3701171875</v>
      </c>
      <c r="I20">
        <f t="shared" si="3"/>
        <v>-0.0566394329296875</v>
      </c>
      <c r="J20">
        <f t="shared" si="4"/>
        <v>1.00321507873247</v>
      </c>
      <c r="K20">
        <f t="shared" si="5"/>
        <v>-13.22138601</v>
      </c>
      <c r="L20">
        <f t="shared" si="6"/>
        <v>42.70126204</v>
      </c>
      <c r="M20">
        <f t="shared" si="7"/>
        <v>5.66366095286319</v>
      </c>
      <c r="N20">
        <f t="shared" si="8"/>
        <v>-0.94703205413681</v>
      </c>
      <c r="O20">
        <f t="shared" si="18"/>
        <v>-0.321139048446953</v>
      </c>
      <c r="P20">
        <f t="shared" si="9"/>
        <v>-0.326931998368733</v>
      </c>
      <c r="Q20">
        <f t="shared" si="10"/>
        <v>-0.070238874609375</v>
      </c>
      <c r="R20">
        <f t="shared" si="11"/>
        <v>1.00493349950639</v>
      </c>
      <c r="S20">
        <f t="shared" si="12"/>
        <v>-13.22138601</v>
      </c>
      <c r="T20">
        <f t="shared" si="13"/>
        <v>42.8043923284374</v>
      </c>
      <c r="U20">
        <f t="shared" si="14"/>
        <v>5.75423791406208</v>
      </c>
      <c r="V20">
        <f t="shared" si="15"/>
        <v>-0.856455092937916</v>
      </c>
      <c r="W20">
        <f t="shared" si="19"/>
        <v>-0.426776718840517</v>
      </c>
      <c r="X20">
        <f t="shared" si="16"/>
        <v>-0.440925598024348</v>
      </c>
    </row>
    <row r="22" customFormat="1" spans="1:24">
      <c r="A22" s="1">
        <v>56</v>
      </c>
      <c r="B22" s="1">
        <v>1253</v>
      </c>
      <c r="C22" s="2">
        <v>723</v>
      </c>
      <c r="D22" s="2">
        <v>911</v>
      </c>
      <c r="E22" s="4">
        <f t="shared" si="0"/>
        <v>5.4472682628119</v>
      </c>
      <c r="F22" s="4">
        <f t="shared" ref="F22:F35" si="22">IF(140-X22*180/PI()&gt;180,140-X22*180/PI()-360,140-X22*180/PI())</f>
        <v>125.213182645176</v>
      </c>
      <c r="G22">
        <f t="shared" si="1"/>
        <v>0.2939453125</v>
      </c>
      <c r="H22">
        <f t="shared" si="2"/>
        <v>0.1103515625</v>
      </c>
      <c r="I22">
        <f t="shared" si="3"/>
        <v>0.0168872187890625</v>
      </c>
      <c r="J22">
        <f t="shared" si="4"/>
        <v>1.00028580516938</v>
      </c>
      <c r="K22">
        <f t="shared" si="5"/>
        <v>-13.22138601</v>
      </c>
      <c r="L22">
        <f t="shared" si="6"/>
        <v>42.70126204</v>
      </c>
      <c r="M22">
        <f t="shared" si="7"/>
        <v>5.61520901929738</v>
      </c>
      <c r="N22">
        <f t="shared" si="8"/>
        <v>-0.995483987702622</v>
      </c>
      <c r="O22">
        <f t="shared" si="18"/>
        <v>0.0949296066972044</v>
      </c>
      <c r="P22">
        <f t="shared" si="9"/>
        <v>0.0950727664254594</v>
      </c>
      <c r="Q22">
        <f t="shared" si="10"/>
        <v>0.0449827686328125</v>
      </c>
      <c r="R22">
        <f t="shared" si="11"/>
        <v>1.00202344947387</v>
      </c>
      <c r="S22">
        <f t="shared" si="12"/>
        <v>-13.22138601</v>
      </c>
      <c r="T22">
        <f t="shared" si="13"/>
        <v>42.7102736702277</v>
      </c>
      <c r="U22">
        <f t="shared" si="14"/>
        <v>5.64817732249962</v>
      </c>
      <c r="V22">
        <f t="shared" si="15"/>
        <v>-0.962515684500385</v>
      </c>
      <c r="W22">
        <f t="shared" si="19"/>
        <v>0.255223303907441</v>
      </c>
      <c r="X22">
        <f t="shared" si="16"/>
        <v>0.258078648732713</v>
      </c>
    </row>
    <row r="23" customFormat="1" spans="1:24">
      <c r="A23" s="1">
        <v>54</v>
      </c>
      <c r="B23" s="1">
        <v>1193</v>
      </c>
      <c r="C23" s="2">
        <v>613</v>
      </c>
      <c r="D23" s="2">
        <v>915</v>
      </c>
      <c r="E23" s="4">
        <f t="shared" si="0"/>
        <v>5.25359719155844</v>
      </c>
      <c r="F23" s="4">
        <f t="shared" si="22"/>
        <v>119.499167246868</v>
      </c>
      <c r="G23">
        <f t="shared" si="1"/>
        <v>0.4013671875</v>
      </c>
      <c r="H23">
        <f t="shared" si="2"/>
        <v>0.1064453125</v>
      </c>
      <c r="I23">
        <f t="shared" si="3"/>
        <v>0.0162894411328125</v>
      </c>
      <c r="J23">
        <f t="shared" si="4"/>
        <v>1.00026592929888</v>
      </c>
      <c r="K23">
        <f t="shared" si="5"/>
        <v>-13.22138601</v>
      </c>
      <c r="L23">
        <f t="shared" si="6"/>
        <v>42.70126204</v>
      </c>
      <c r="M23">
        <f t="shared" si="7"/>
        <v>5.61489382611907</v>
      </c>
      <c r="N23">
        <f t="shared" si="8"/>
        <v>-0.995799180880925</v>
      </c>
      <c r="O23">
        <f t="shared" si="18"/>
        <v>0.0915641379409996</v>
      </c>
      <c r="P23">
        <f t="shared" si="9"/>
        <v>0.0916925685662221</v>
      </c>
      <c r="Q23">
        <f t="shared" si="10"/>
        <v>0.0614216541796875</v>
      </c>
      <c r="R23">
        <f t="shared" si="11"/>
        <v>1.00377261960217</v>
      </c>
      <c r="S23">
        <f t="shared" si="12"/>
        <v>-13.22138601</v>
      </c>
      <c r="T23">
        <f t="shared" si="13"/>
        <v>42.7096460313569</v>
      </c>
      <c r="U23">
        <f t="shared" si="14"/>
        <v>5.67796067692233</v>
      </c>
      <c r="V23">
        <f t="shared" si="15"/>
        <v>-0.932732330077666</v>
      </c>
      <c r="W23">
        <f t="shared" si="19"/>
        <v>0.350220995082093</v>
      </c>
      <c r="X23">
        <f t="shared" si="16"/>
        <v>0.357807030942841</v>
      </c>
    </row>
    <row r="24" customFormat="1" spans="1:24">
      <c r="A24" s="1">
        <v>219</v>
      </c>
      <c r="B24" s="1">
        <v>1208</v>
      </c>
      <c r="C24" s="2">
        <v>671</v>
      </c>
      <c r="D24" s="2">
        <v>592</v>
      </c>
      <c r="E24" s="4">
        <f t="shared" si="0"/>
        <v>21.5391993023106</v>
      </c>
      <c r="F24" s="4">
        <f t="shared" si="22"/>
        <v>121.032467552064</v>
      </c>
      <c r="G24">
        <f t="shared" si="1"/>
        <v>0.3447265625</v>
      </c>
      <c r="H24">
        <f t="shared" si="2"/>
        <v>0.421875</v>
      </c>
      <c r="I24">
        <f t="shared" si="3"/>
        <v>0.064559986875</v>
      </c>
      <c r="J24">
        <f t="shared" si="4"/>
        <v>1.00417715591905</v>
      </c>
      <c r="K24">
        <f t="shared" si="5"/>
        <v>-13.22138601</v>
      </c>
      <c r="L24">
        <f t="shared" si="6"/>
        <v>42.70126204</v>
      </c>
      <c r="M24">
        <f t="shared" si="7"/>
        <v>5.68052640108837</v>
      </c>
      <c r="N24">
        <f t="shared" si="8"/>
        <v>-0.930166605911631</v>
      </c>
      <c r="O24">
        <f t="shared" si="18"/>
        <v>0.367137692489939</v>
      </c>
      <c r="P24">
        <f t="shared" si="9"/>
        <v>0.375929946068585</v>
      </c>
      <c r="Q24">
        <f t="shared" si="10"/>
        <v>0.0527538781640625</v>
      </c>
      <c r="R24">
        <f t="shared" si="11"/>
        <v>1.00278297166135</v>
      </c>
      <c r="S24">
        <f t="shared" si="12"/>
        <v>-13.22138601</v>
      </c>
      <c r="T24">
        <f t="shared" si="13"/>
        <v>42.8360521252468</v>
      </c>
      <c r="U24">
        <f t="shared" si="14"/>
        <v>5.73103173906746</v>
      </c>
      <c r="V24">
        <f t="shared" si="15"/>
        <v>-0.879661267932537</v>
      </c>
      <c r="W24">
        <f t="shared" si="19"/>
        <v>0.325032309284252</v>
      </c>
      <c r="X24">
        <f t="shared" si="16"/>
        <v>0.331045892195336</v>
      </c>
    </row>
    <row r="25" customFormat="1" spans="1:24">
      <c r="A25" s="1">
        <v>253</v>
      </c>
      <c r="B25" s="1">
        <v>1216</v>
      </c>
      <c r="C25" s="2">
        <v>695</v>
      </c>
      <c r="D25" s="2">
        <v>532</v>
      </c>
      <c r="E25" s="4">
        <f t="shared" si="0"/>
        <v>24.8212341504652</v>
      </c>
      <c r="F25" s="4">
        <f t="shared" si="22"/>
        <v>121.857088172633</v>
      </c>
      <c r="G25">
        <f t="shared" si="1"/>
        <v>0.3212890625</v>
      </c>
      <c r="H25">
        <f t="shared" si="2"/>
        <v>0.48046875</v>
      </c>
      <c r="I25">
        <f t="shared" si="3"/>
        <v>0.07352665171875</v>
      </c>
      <c r="J25">
        <f t="shared" si="4"/>
        <v>1.00541805486106</v>
      </c>
      <c r="K25">
        <f t="shared" si="5"/>
        <v>-13.22138601</v>
      </c>
      <c r="L25">
        <f t="shared" si="6"/>
        <v>42.70126204</v>
      </c>
      <c r="M25">
        <f t="shared" si="7"/>
        <v>5.70307104219569</v>
      </c>
      <c r="N25">
        <f t="shared" si="8"/>
        <v>-0.907621964804307</v>
      </c>
      <c r="O25">
        <f t="shared" si="18"/>
        <v>0.419788481267374</v>
      </c>
      <c r="P25">
        <f t="shared" si="9"/>
        <v>0.433212260334076</v>
      </c>
      <c r="Q25">
        <f t="shared" si="10"/>
        <v>0.0491672122265625</v>
      </c>
      <c r="R25">
        <f t="shared" si="11"/>
        <v>1.00241741475813</v>
      </c>
      <c r="S25">
        <f t="shared" si="12"/>
        <v>-13.22138601</v>
      </c>
      <c r="T25">
        <f t="shared" si="13"/>
        <v>42.8774844090048</v>
      </c>
      <c r="U25">
        <f t="shared" si="14"/>
        <v>5.74819548026503</v>
      </c>
      <c r="V25">
        <f t="shared" si="15"/>
        <v>-0.862497526734975</v>
      </c>
      <c r="W25">
        <f t="shared" si="19"/>
        <v>0.311388233730702</v>
      </c>
      <c r="X25">
        <f t="shared" si="16"/>
        <v>0.316653547286573</v>
      </c>
    </row>
    <row r="26" customFormat="1" spans="1:24">
      <c r="A26" s="1">
        <v>315</v>
      </c>
      <c r="B26" s="1">
        <v>1218</v>
      </c>
      <c r="C26" s="2">
        <v>721</v>
      </c>
      <c r="D26" s="2">
        <v>427</v>
      </c>
      <c r="E26" s="4">
        <f t="shared" si="0"/>
        <v>30.9185182979628</v>
      </c>
      <c r="F26" s="4">
        <f t="shared" si="22"/>
        <v>122.192875964524</v>
      </c>
      <c r="G26">
        <f t="shared" si="1"/>
        <v>0.2958984375</v>
      </c>
      <c r="H26">
        <f t="shared" si="2"/>
        <v>0.5830078125</v>
      </c>
      <c r="I26">
        <f t="shared" si="3"/>
        <v>0.0892183151953125</v>
      </c>
      <c r="J26">
        <f t="shared" si="4"/>
        <v>1.00797740892894</v>
      </c>
      <c r="K26">
        <f t="shared" si="5"/>
        <v>-13.22138601</v>
      </c>
      <c r="L26">
        <f t="shared" si="6"/>
        <v>42.70126204</v>
      </c>
      <c r="M26">
        <f t="shared" si="7"/>
        <v>5.75279412533061</v>
      </c>
      <c r="N26">
        <f t="shared" si="8"/>
        <v>-0.857898881669394</v>
      </c>
      <c r="O26">
        <f t="shared" si="18"/>
        <v>0.513818556331321</v>
      </c>
      <c r="P26">
        <f t="shared" si="9"/>
        <v>0.539629944137565</v>
      </c>
      <c r="Q26">
        <f t="shared" si="10"/>
        <v>0.0452816574609375</v>
      </c>
      <c r="R26">
        <f t="shared" si="11"/>
        <v>1.00205042850241</v>
      </c>
      <c r="S26">
        <f t="shared" si="12"/>
        <v>-13.22138601</v>
      </c>
      <c r="T26">
        <f t="shared" si="13"/>
        <v>42.9652715488304</v>
      </c>
      <c r="U26">
        <f t="shared" si="14"/>
        <v>5.79389488038746</v>
      </c>
      <c r="V26">
        <f t="shared" si="15"/>
        <v>-0.816798126612537</v>
      </c>
      <c r="W26">
        <f t="shared" si="19"/>
        <v>0.305813688345282</v>
      </c>
      <c r="X26">
        <f t="shared" si="16"/>
        <v>0.310792944730067</v>
      </c>
    </row>
    <row r="27" customFormat="1" spans="1:24">
      <c r="A27" s="1">
        <v>374</v>
      </c>
      <c r="B27" s="1">
        <v>1227</v>
      </c>
      <c r="C27" s="2">
        <v>754</v>
      </c>
      <c r="D27" s="2">
        <v>337</v>
      </c>
      <c r="E27" s="4">
        <f t="shared" si="0"/>
        <v>36.6552763903769</v>
      </c>
      <c r="F27" s="4">
        <f t="shared" si="22"/>
        <v>122.906767571396</v>
      </c>
      <c r="G27">
        <f t="shared" si="1"/>
        <v>0.263671875</v>
      </c>
      <c r="H27">
        <f t="shared" si="2"/>
        <v>0.6708984375</v>
      </c>
      <c r="I27">
        <f t="shared" si="3"/>
        <v>0.102668312460938</v>
      </c>
      <c r="J27">
        <f t="shared" si="4"/>
        <v>1.01056395802234</v>
      </c>
      <c r="K27">
        <f t="shared" si="5"/>
        <v>-13.22138601</v>
      </c>
      <c r="L27">
        <f t="shared" si="6"/>
        <v>42.70126204</v>
      </c>
      <c r="M27">
        <f t="shared" si="7"/>
        <v>5.80845111626733</v>
      </c>
      <c r="N27">
        <f t="shared" si="8"/>
        <v>-0.802241890732671</v>
      </c>
      <c r="O27">
        <f t="shared" si="18"/>
        <v>0.596999119558537</v>
      </c>
      <c r="P27">
        <f t="shared" si="9"/>
        <v>0.63975526124062</v>
      </c>
      <c r="Q27">
        <f t="shared" si="10"/>
        <v>0.040349991796875</v>
      </c>
      <c r="R27">
        <f t="shared" si="11"/>
        <v>1.00162812183801</v>
      </c>
      <c r="S27">
        <f t="shared" si="12"/>
        <v>-13.22138601</v>
      </c>
      <c r="T27">
        <f t="shared" si="13"/>
        <v>43.0576699887537</v>
      </c>
      <c r="U27">
        <f t="shared" si="14"/>
        <v>5.84388795435644</v>
      </c>
      <c r="V27">
        <f t="shared" si="15"/>
        <v>-0.766805052643557</v>
      </c>
      <c r="W27">
        <f t="shared" si="19"/>
        <v>0.293927428348285</v>
      </c>
      <c r="X27">
        <f t="shared" si="16"/>
        <v>0.29833318568781</v>
      </c>
    </row>
    <row r="28" customFormat="1" spans="1:24">
      <c r="A28" s="1">
        <v>388</v>
      </c>
      <c r="B28" s="1">
        <v>1211</v>
      </c>
      <c r="C28" s="2">
        <v>739</v>
      </c>
      <c r="D28" s="2">
        <v>317</v>
      </c>
      <c r="E28" s="4">
        <f t="shared" si="0"/>
        <v>38.0176619216361</v>
      </c>
      <c r="F28" s="4">
        <f t="shared" si="22"/>
        <v>121.518626494514</v>
      </c>
      <c r="G28">
        <f t="shared" si="1"/>
        <v>0.2783203125</v>
      </c>
      <c r="H28">
        <f t="shared" si="2"/>
        <v>0.6904296875</v>
      </c>
      <c r="I28">
        <f t="shared" si="3"/>
        <v>0.105657200742188</v>
      </c>
      <c r="J28">
        <f t="shared" si="4"/>
        <v>1.01118798873126</v>
      </c>
      <c r="K28">
        <f t="shared" si="5"/>
        <v>-13.22138601</v>
      </c>
      <c r="L28">
        <f t="shared" si="6"/>
        <v>42.70126204</v>
      </c>
      <c r="M28">
        <f t="shared" si="7"/>
        <v>5.82287207382666</v>
      </c>
      <c r="N28">
        <f t="shared" si="8"/>
        <v>-0.787820933173338</v>
      </c>
      <c r="O28">
        <f t="shared" si="18"/>
        <v>0.615904357229182</v>
      </c>
      <c r="P28">
        <f t="shared" si="9"/>
        <v>0.663533374442625</v>
      </c>
      <c r="Q28">
        <f t="shared" si="10"/>
        <v>0.0425916580078125</v>
      </c>
      <c r="R28">
        <f t="shared" si="11"/>
        <v>1.00181404933185</v>
      </c>
      <c r="S28">
        <f t="shared" si="12"/>
        <v>-13.22138601</v>
      </c>
      <c r="T28">
        <f t="shared" si="13"/>
        <v>43.0806002172539</v>
      </c>
      <c r="U28">
        <f t="shared" si="14"/>
        <v>5.86350255281717</v>
      </c>
      <c r="V28">
        <f t="shared" si="15"/>
        <v>-0.747190454182831</v>
      </c>
      <c r="W28">
        <f t="shared" si="19"/>
        <v>0.316996345637773</v>
      </c>
      <c r="X28">
        <f t="shared" si="16"/>
        <v>0.322560817961585</v>
      </c>
    </row>
    <row r="29" customFormat="1" spans="1:24">
      <c r="A29" s="1">
        <v>412</v>
      </c>
      <c r="B29" s="1">
        <v>1409</v>
      </c>
      <c r="C29" s="2">
        <v>1036</v>
      </c>
      <c r="D29" s="2">
        <v>279</v>
      </c>
      <c r="E29" s="4">
        <f t="shared" si="0"/>
        <v>40.7182706871026</v>
      </c>
      <c r="F29" s="4">
        <f t="shared" si="22"/>
        <v>140.793592176724</v>
      </c>
      <c r="G29">
        <f t="shared" si="1"/>
        <v>-0.01171875</v>
      </c>
      <c r="H29">
        <f t="shared" si="2"/>
        <v>0.7275390625</v>
      </c>
      <c r="I29">
        <f t="shared" si="3"/>
        <v>0.111336088476563</v>
      </c>
      <c r="J29">
        <f t="shared" si="4"/>
        <v>1.01242297863069</v>
      </c>
      <c r="K29">
        <f t="shared" si="5"/>
        <v>-13.22138601</v>
      </c>
      <c r="L29">
        <f t="shared" si="6"/>
        <v>42.70126204</v>
      </c>
      <c r="M29">
        <f t="shared" si="7"/>
        <v>5.85276665286186</v>
      </c>
      <c r="N29">
        <f t="shared" si="8"/>
        <v>-0.75792635413814</v>
      </c>
      <c r="O29">
        <f t="shared" si="18"/>
        <v>0.652340127313097</v>
      </c>
      <c r="P29">
        <f t="shared" si="9"/>
        <v>0.710667889208234</v>
      </c>
      <c r="Q29">
        <f t="shared" si="10"/>
        <v>-0.00179333296875</v>
      </c>
      <c r="R29">
        <f t="shared" si="11"/>
        <v>1.00000321604314</v>
      </c>
      <c r="S29">
        <f t="shared" si="12"/>
        <v>-13.22138601</v>
      </c>
      <c r="T29">
        <f t="shared" si="13"/>
        <v>43.1268096817029</v>
      </c>
      <c r="U29">
        <f t="shared" si="14"/>
        <v>5.8528393537239</v>
      </c>
      <c r="V29">
        <f t="shared" si="15"/>
        <v>-0.757853653276095</v>
      </c>
      <c r="W29">
        <f t="shared" si="19"/>
        <v>-0.0138503535394906</v>
      </c>
      <c r="X29">
        <f t="shared" si="16"/>
        <v>-0.0138507964019017</v>
      </c>
    </row>
    <row r="30" customFormat="1" spans="1:24">
      <c r="A30" s="1">
        <v>543</v>
      </c>
      <c r="B30" s="1">
        <v>1426</v>
      </c>
      <c r="C30" s="2">
        <v>1052</v>
      </c>
      <c r="D30" s="2">
        <v>131</v>
      </c>
      <c r="E30" s="4">
        <f t="shared" si="0"/>
        <v>53.4842967355838</v>
      </c>
      <c r="F30" s="4">
        <f t="shared" si="22"/>
        <v>142.424785452083</v>
      </c>
      <c r="G30">
        <f t="shared" si="1"/>
        <v>-0.02734375</v>
      </c>
      <c r="H30">
        <f t="shared" si="2"/>
        <v>0.8720703125</v>
      </c>
      <c r="I30">
        <f t="shared" si="3"/>
        <v>0.133453861757813</v>
      </c>
      <c r="J30">
        <f t="shared" si="4"/>
        <v>1.01784909127708</v>
      </c>
      <c r="K30">
        <f t="shared" si="5"/>
        <v>-13.22138601</v>
      </c>
      <c r="L30">
        <f t="shared" si="6"/>
        <v>42.70126204</v>
      </c>
      <c r="M30">
        <f t="shared" si="7"/>
        <v>6.01564992659405</v>
      </c>
      <c r="N30">
        <f t="shared" si="8"/>
        <v>-0.59504308040595</v>
      </c>
      <c r="O30">
        <f t="shared" si="18"/>
        <v>0.80369380516525</v>
      </c>
      <c r="P30">
        <f t="shared" si="9"/>
        <v>0.933477076149593</v>
      </c>
      <c r="Q30">
        <f t="shared" si="10"/>
        <v>-0.00418444359375</v>
      </c>
      <c r="R30">
        <f t="shared" si="11"/>
        <v>1.00001750956819</v>
      </c>
      <c r="S30">
        <f t="shared" si="12"/>
        <v>-13.22138601</v>
      </c>
      <c r="T30">
        <f t="shared" si="13"/>
        <v>43.347185772461</v>
      </c>
      <c r="U30">
        <f t="shared" si="14"/>
        <v>6.01618271524344</v>
      </c>
      <c r="V30">
        <f t="shared" si="15"/>
        <v>-0.594510291756556</v>
      </c>
      <c r="W30">
        <f t="shared" si="19"/>
        <v>-0.0423078580900714</v>
      </c>
      <c r="X30">
        <f t="shared" si="16"/>
        <v>-0.0423204897933062</v>
      </c>
    </row>
    <row r="31" customFormat="1" spans="1:24">
      <c r="A31" s="1">
        <v>510</v>
      </c>
      <c r="B31" s="1">
        <v>1568</v>
      </c>
      <c r="C31" s="2">
        <v>1225</v>
      </c>
      <c r="D31" s="2">
        <v>166</v>
      </c>
      <c r="E31" s="4">
        <f t="shared" si="0"/>
        <v>50.0022014390362</v>
      </c>
      <c r="F31" s="4">
        <f t="shared" si="22"/>
        <v>156.266469065296</v>
      </c>
      <c r="G31">
        <f t="shared" si="1"/>
        <v>-0.1962890625</v>
      </c>
      <c r="H31">
        <f t="shared" si="2"/>
        <v>0.837890625</v>
      </c>
      <c r="I31">
        <f t="shared" si="3"/>
        <v>0.128223307265625</v>
      </c>
      <c r="J31">
        <f t="shared" si="4"/>
        <v>1.01647736523703</v>
      </c>
      <c r="K31">
        <f t="shared" si="5"/>
        <v>-13.22138601</v>
      </c>
      <c r="L31">
        <f t="shared" si="6"/>
        <v>42.70126204</v>
      </c>
      <c r="M31">
        <f t="shared" si="7"/>
        <v>5.96793483102288</v>
      </c>
      <c r="N31">
        <f t="shared" si="8"/>
        <v>-0.642758175977121</v>
      </c>
      <c r="O31">
        <f t="shared" si="18"/>
        <v>0.766069139970123</v>
      </c>
      <c r="P31">
        <f t="shared" si="9"/>
        <v>0.872703048356628</v>
      </c>
      <c r="Q31">
        <f t="shared" si="10"/>
        <v>-0.0300383272265625</v>
      </c>
      <c r="R31">
        <f t="shared" si="11"/>
        <v>1.00090230110257</v>
      </c>
      <c r="S31">
        <f t="shared" si="12"/>
        <v>-13.22138601</v>
      </c>
      <c r="T31">
        <f t="shared" si="13"/>
        <v>43.2881239672146</v>
      </c>
      <c r="U31">
        <f t="shared" si="14"/>
        <v>5.99366483877814</v>
      </c>
      <c r="V31">
        <f t="shared" si="15"/>
        <v>-0.617028168221861</v>
      </c>
      <c r="W31">
        <f t="shared" si="19"/>
        <v>-0.280104958634956</v>
      </c>
      <c r="X31">
        <f t="shared" si="16"/>
        <v>-0.283903442863228</v>
      </c>
    </row>
    <row r="32" customFormat="1" spans="1:24">
      <c r="A32" s="1">
        <v>69</v>
      </c>
      <c r="B32" s="1">
        <v>1582</v>
      </c>
      <c r="C32" s="2">
        <v>1387</v>
      </c>
      <c r="D32" s="2">
        <v>884</v>
      </c>
      <c r="E32" s="4">
        <f t="shared" si="0"/>
        <v>6.75723174000439</v>
      </c>
      <c r="F32" s="4">
        <f t="shared" si="22"/>
        <v>158.031731280552</v>
      </c>
      <c r="G32">
        <f t="shared" si="1"/>
        <v>-0.3544921875</v>
      </c>
      <c r="H32">
        <f t="shared" si="2"/>
        <v>0.13671875</v>
      </c>
      <c r="I32">
        <f t="shared" si="3"/>
        <v>0.02092221796875</v>
      </c>
      <c r="J32">
        <f t="shared" si="4"/>
        <v>1.00043870164616</v>
      </c>
      <c r="K32">
        <f t="shared" si="5"/>
        <v>-13.22138601</v>
      </c>
      <c r="L32">
        <f t="shared" si="6"/>
        <v>42.70126204</v>
      </c>
      <c r="M32">
        <f t="shared" si="7"/>
        <v>5.61763939325215</v>
      </c>
      <c r="N32">
        <f t="shared" si="8"/>
        <v>-0.993053613747845</v>
      </c>
      <c r="O32">
        <f t="shared" si="18"/>
        <v>0.117662739311753</v>
      </c>
      <c r="P32">
        <f t="shared" si="9"/>
        <v>0.117935942183342</v>
      </c>
      <c r="Q32">
        <f t="shared" si="10"/>
        <v>-0.0542483223046875</v>
      </c>
      <c r="R32">
        <f t="shared" si="11"/>
        <v>1.00294288047287</v>
      </c>
      <c r="S32">
        <f t="shared" si="12"/>
        <v>-13.22138601</v>
      </c>
      <c r="T32">
        <f t="shared" si="13"/>
        <v>42.7151065602223</v>
      </c>
      <c r="U32">
        <f t="shared" si="14"/>
        <v>5.66641299099582</v>
      </c>
      <c r="V32">
        <f t="shared" si="15"/>
        <v>-0.944280016004178</v>
      </c>
      <c r="W32">
        <f t="shared" si="19"/>
        <v>-0.309543656628856</v>
      </c>
      <c r="X32">
        <f t="shared" si="16"/>
        <v>-0.314713080680494</v>
      </c>
    </row>
    <row r="33" customFormat="1" spans="1:24">
      <c r="A33" s="1">
        <v>-102</v>
      </c>
      <c r="B33" s="1">
        <v>1512</v>
      </c>
      <c r="C33" s="2">
        <v>1248</v>
      </c>
      <c r="D33" s="2">
        <v>1231</v>
      </c>
      <c r="E33" s="4">
        <f t="shared" si="0"/>
        <v>-10.0339228951528</v>
      </c>
      <c r="F33" s="4">
        <f t="shared" si="22"/>
        <v>151.062548256332</v>
      </c>
      <c r="G33">
        <f t="shared" si="1"/>
        <v>-0.21875</v>
      </c>
      <c r="H33">
        <f t="shared" si="2"/>
        <v>-0.2021484375</v>
      </c>
      <c r="I33">
        <f t="shared" si="3"/>
        <v>-0.0309349937109375</v>
      </c>
      <c r="J33">
        <f t="shared" si="4"/>
        <v>1.00095907789982</v>
      </c>
      <c r="K33">
        <f t="shared" si="5"/>
        <v>-13.22138601</v>
      </c>
      <c r="L33">
        <f t="shared" si="6"/>
        <v>42.70126204</v>
      </c>
      <c r="M33">
        <f t="shared" si="7"/>
        <v>5.62598823780903</v>
      </c>
      <c r="N33">
        <f t="shared" si="8"/>
        <v>-0.984704769190972</v>
      </c>
      <c r="O33">
        <f t="shared" si="18"/>
        <v>-0.174231218593438</v>
      </c>
      <c r="P33">
        <f t="shared" si="9"/>
        <v>-0.175124991411659</v>
      </c>
      <c r="Q33">
        <f t="shared" si="10"/>
        <v>-0.03347554875</v>
      </c>
      <c r="R33">
        <f t="shared" si="11"/>
        <v>1.00112061236411</v>
      </c>
      <c r="S33">
        <f t="shared" si="12"/>
        <v>-13.22138601</v>
      </c>
      <c r="T33">
        <f t="shared" si="13"/>
        <v>42.7316185575326</v>
      </c>
      <c r="U33">
        <f t="shared" si="14"/>
        <v>5.64428572885008</v>
      </c>
      <c r="V33">
        <f t="shared" si="15"/>
        <v>-0.966407278149922</v>
      </c>
      <c r="W33">
        <f t="shared" si="19"/>
        <v>-0.191880497371747</v>
      </c>
      <c r="X33">
        <f t="shared" si="16"/>
        <v>-0.193077890733752</v>
      </c>
    </row>
    <row r="34" customFormat="1" spans="1:24">
      <c r="A34" s="1">
        <v>-114</v>
      </c>
      <c r="B34" s="1">
        <v>1315</v>
      </c>
      <c r="C34" s="2">
        <v>855</v>
      </c>
      <c r="D34" s="2">
        <v>1255</v>
      </c>
      <c r="E34" s="4">
        <f t="shared" si="0"/>
        <v>-11.2192409208972</v>
      </c>
      <c r="F34" s="4">
        <f t="shared" si="22"/>
        <v>131.649696723516</v>
      </c>
      <c r="G34">
        <f t="shared" si="1"/>
        <v>0.1650390625</v>
      </c>
      <c r="H34">
        <f t="shared" si="2"/>
        <v>-0.2255859375</v>
      </c>
      <c r="I34">
        <f t="shared" si="3"/>
        <v>-0.0345216596484375</v>
      </c>
      <c r="J34">
        <f t="shared" si="4"/>
        <v>1.00119436523168</v>
      </c>
      <c r="K34">
        <f t="shared" si="5"/>
        <v>-13.22138601</v>
      </c>
      <c r="L34">
        <f t="shared" si="6"/>
        <v>42.70126204</v>
      </c>
      <c r="M34">
        <f t="shared" si="7"/>
        <v>5.62980313424123</v>
      </c>
      <c r="N34">
        <f t="shared" si="8"/>
        <v>-0.980889872758771</v>
      </c>
      <c r="O34">
        <f t="shared" si="18"/>
        <v>-0.194563762091715</v>
      </c>
      <c r="P34">
        <f t="shared" si="9"/>
        <v>-0.195812693644137</v>
      </c>
      <c r="Q34">
        <f t="shared" si="10"/>
        <v>0.0252561059765625</v>
      </c>
      <c r="R34">
        <f t="shared" si="11"/>
        <v>1.0006378708891</v>
      </c>
      <c r="S34">
        <f t="shared" si="12"/>
        <v>-13.22138601</v>
      </c>
      <c r="T34">
        <f t="shared" si="13"/>
        <v>42.7391170975193</v>
      </c>
      <c r="U34">
        <f t="shared" si="14"/>
        <v>5.64020187239352</v>
      </c>
      <c r="V34">
        <f t="shared" si="15"/>
        <v>-0.970491134606484</v>
      </c>
      <c r="W34">
        <f t="shared" si="19"/>
        <v>0.145224907137777</v>
      </c>
      <c r="X34">
        <f t="shared" si="16"/>
        <v>0.14574028571471</v>
      </c>
    </row>
    <row r="35" customFormat="1" spans="1:24">
      <c r="A35" s="1">
        <v>-66</v>
      </c>
      <c r="B35" s="1">
        <v>1052</v>
      </c>
      <c r="C35" s="2">
        <v>375</v>
      </c>
      <c r="D35" s="2">
        <v>1155</v>
      </c>
      <c r="E35" s="4">
        <f t="shared" si="0"/>
        <v>-6.32002482913567</v>
      </c>
      <c r="F35" s="4">
        <f t="shared" si="22"/>
        <v>105.593041776963</v>
      </c>
      <c r="G35">
        <f t="shared" si="1"/>
        <v>0.6337890625</v>
      </c>
      <c r="H35">
        <f t="shared" si="2"/>
        <v>-0.1279296875</v>
      </c>
      <c r="I35">
        <f t="shared" si="3"/>
        <v>-0.0195772182421875</v>
      </c>
      <c r="J35">
        <f t="shared" si="4"/>
        <v>1.0003841101505</v>
      </c>
      <c r="K35">
        <f t="shared" si="5"/>
        <v>-13.22138601</v>
      </c>
      <c r="L35">
        <f t="shared" si="6"/>
        <v>42.70126204</v>
      </c>
      <c r="M35">
        <f t="shared" si="7"/>
        <v>5.61677046430405</v>
      </c>
      <c r="N35">
        <f t="shared" si="8"/>
        <v>-0.993922542695948</v>
      </c>
      <c r="O35">
        <f t="shared" si="18"/>
        <v>-0.110081692941293</v>
      </c>
      <c r="P35">
        <f t="shared" si="9"/>
        <v>-0.110305242076209</v>
      </c>
      <c r="Q35">
        <f t="shared" si="10"/>
        <v>0.0969894247265625</v>
      </c>
      <c r="R35">
        <f t="shared" si="11"/>
        <v>1.00940694850879</v>
      </c>
      <c r="S35">
        <f t="shared" si="12"/>
        <v>-13.22138601</v>
      </c>
      <c r="T35">
        <f t="shared" si="13"/>
        <v>42.7133800191208</v>
      </c>
      <c r="U35">
        <f t="shared" si="14"/>
        <v>5.79066230163816</v>
      </c>
      <c r="V35">
        <f t="shared" si="15"/>
        <v>-0.820030705361841</v>
      </c>
      <c r="W35">
        <f t="shared" si="19"/>
        <v>0.565067204261342</v>
      </c>
      <c r="X35">
        <f t="shared" si="16"/>
        <v>0.600514706588132</v>
      </c>
    </row>
    <row r="37" customFormat="1" spans="1:24">
      <c r="A37" s="1"/>
      <c r="B37" s="1"/>
      <c r="C37" s="2">
        <v>1742</v>
      </c>
      <c r="D37" s="2">
        <v>1194</v>
      </c>
      <c r="E37" s="4">
        <f t="shared" ref="E37:E100" si="23">P37*180/PI()</f>
        <v>-8.21920601322898</v>
      </c>
      <c r="F37" s="4">
        <f t="shared" ref="F37:F53" si="24">IF(140-X37*180/PI()&gt;180,140-X37*180/PI()-360,140-X37*180/PI())</f>
        <v>179.322850369352</v>
      </c>
      <c r="G37">
        <f t="shared" ref="G37:G100" si="25">(1024-C37)/1024</f>
        <v>-0.701171875</v>
      </c>
      <c r="H37">
        <f t="shared" ref="H37:H100" si="26">(1024-D37)/1024</f>
        <v>-0.166015625</v>
      </c>
      <c r="I37">
        <f t="shared" ref="I37:I100" si="27">0.15303108*H37</f>
        <v>-0.025405550390625</v>
      </c>
      <c r="J37">
        <f t="shared" ref="J37:J100" si="28">1+1.002198664*I37^2</f>
        <v>1.00064686110072</v>
      </c>
      <c r="K37">
        <f t="shared" ref="K37:K100" si="29">-13.22138601</f>
        <v>-13.22138601</v>
      </c>
      <c r="L37">
        <f t="shared" ref="L37:L100" si="30">42.70126204</f>
        <v>42.70126204</v>
      </c>
      <c r="M37">
        <f t="shared" ref="M37:M100" si="31">(-K37-(K37^2-4*J37*L37)^0.5)/2/J37</f>
        <v>5.62096464208261</v>
      </c>
      <c r="N37">
        <f t="shared" ref="N37:N100" si="32">M37-6.610693007</f>
        <v>-0.989728364917389</v>
      </c>
      <c r="O37">
        <f t="shared" ref="O37:O100" si="33">IF(H37&gt;=0,1,-1)*(1-N37^2)^0.5</f>
        <v>-0.142960706762213</v>
      </c>
      <c r="P37">
        <f t="shared" ref="P37:P100" si="34">ASIN(O37)</f>
        <v>-0.143452206830562</v>
      </c>
      <c r="Q37">
        <f t="shared" ref="Q37:Q100" si="35">0.15303108*G37</f>
        <v>-0.107301089296875</v>
      </c>
      <c r="R37">
        <f t="shared" ref="R37:R100" si="36">1+Q37^2</f>
        <v>1.0115135237643</v>
      </c>
      <c r="S37">
        <f t="shared" ref="S37:S100" si="37">-13.22138601</f>
        <v>-13.22138601</v>
      </c>
      <c r="T37">
        <f t="shared" ref="T37:T100" si="38">43.70126204-(COS(P37))^2</f>
        <v>42.721699803678</v>
      </c>
      <c r="U37">
        <f t="shared" ref="U37:U100" si="39">(-S37-(S37^2-4*R37*T37)^0.5)/2/R37</f>
        <v>5.84505146906757</v>
      </c>
      <c r="V37">
        <f t="shared" ref="V37:V100" si="40">U37-6.610693007</f>
        <v>-0.765641537932434</v>
      </c>
      <c r="W37">
        <f t="shared" ref="W37:W100" si="41">IF(G37&gt;=0,1,-1)*(1-(V37/COS(P37))^2)^0.5</f>
        <v>-0.633689440697963</v>
      </c>
      <c r="X37">
        <f t="shared" ref="X37:X100" si="42">ASIN(W37)</f>
        <v>-0.686313210214269</v>
      </c>
    </row>
    <row r="38" customFormat="1" spans="1:24">
      <c r="A38" s="1"/>
      <c r="B38" s="1"/>
      <c r="C38" s="2">
        <v>1734</v>
      </c>
      <c r="D38" s="2">
        <v>1222</v>
      </c>
      <c r="E38" s="4">
        <f t="shared" si="23"/>
        <v>-9.59117898667136</v>
      </c>
      <c r="F38" s="4">
        <f t="shared" si="24"/>
        <v>178.967349262779</v>
      </c>
      <c r="G38">
        <f t="shared" si="25"/>
        <v>-0.693359375</v>
      </c>
      <c r="H38">
        <f t="shared" si="26"/>
        <v>-0.193359375</v>
      </c>
      <c r="I38">
        <f t="shared" si="27"/>
        <v>-0.029589993984375</v>
      </c>
      <c r="J38">
        <f t="shared" si="28"/>
        <v>1.00087749282327</v>
      </c>
      <c r="K38">
        <f t="shared" si="29"/>
        <v>-13.22138601</v>
      </c>
      <c r="L38">
        <f t="shared" si="30"/>
        <v>42.70126204</v>
      </c>
      <c r="M38">
        <f t="shared" si="31"/>
        <v>5.62467130661135</v>
      </c>
      <c r="N38">
        <f t="shared" si="32"/>
        <v>-0.98602170038865</v>
      </c>
      <c r="O38">
        <f t="shared" si="33"/>
        <v>-0.166616945004627</v>
      </c>
      <c r="P38">
        <f t="shared" si="34"/>
        <v>-0.167397652465509</v>
      </c>
      <c r="Q38">
        <f t="shared" si="35"/>
        <v>-0.106105533984375</v>
      </c>
      <c r="R38">
        <f t="shared" si="36"/>
        <v>1.01125838434211</v>
      </c>
      <c r="S38">
        <f t="shared" si="37"/>
        <v>-13.22138601</v>
      </c>
      <c r="T38">
        <f t="shared" si="38"/>
        <v>42.7290232463627</v>
      </c>
      <c r="U38">
        <f t="shared" si="39"/>
        <v>5.84405673573935</v>
      </c>
      <c r="V38">
        <f t="shared" si="40"/>
        <v>-0.76663627126065</v>
      </c>
      <c r="W38">
        <f t="shared" si="41"/>
        <v>-0.628877422263678</v>
      </c>
      <c r="X38">
        <f t="shared" si="42"/>
        <v>-0.680108545410086</v>
      </c>
    </row>
    <row r="39" customFormat="1" spans="1:24">
      <c r="A39" s="6">
        <v>-108</v>
      </c>
      <c r="B39" s="6">
        <v>1788</v>
      </c>
      <c r="C39" s="2">
        <v>1728</v>
      </c>
      <c r="D39" s="2">
        <v>1246</v>
      </c>
      <c r="E39" s="4">
        <f t="shared" si="23"/>
        <v>-10.7739167886741</v>
      </c>
      <c r="F39" s="4">
        <f t="shared" si="24"/>
        <v>178.750748534505</v>
      </c>
      <c r="G39">
        <f t="shared" si="25"/>
        <v>-0.6875</v>
      </c>
      <c r="H39">
        <f t="shared" si="26"/>
        <v>-0.216796875</v>
      </c>
      <c r="I39">
        <f t="shared" si="27"/>
        <v>-0.033176659921875</v>
      </c>
      <c r="J39">
        <f t="shared" si="28"/>
        <v>1.00110311081273</v>
      </c>
      <c r="K39">
        <f t="shared" si="29"/>
        <v>-13.22138601</v>
      </c>
      <c r="L39">
        <f t="shared" si="30"/>
        <v>42.70126204</v>
      </c>
      <c r="M39">
        <f t="shared" si="31"/>
        <v>5.62832055498027</v>
      </c>
      <c r="N39">
        <f t="shared" si="32"/>
        <v>-0.982372452019733</v>
      </c>
      <c r="O39">
        <f t="shared" si="33"/>
        <v>-0.186934120782527</v>
      </c>
      <c r="P39">
        <f t="shared" si="34"/>
        <v>-0.188040321298258</v>
      </c>
      <c r="Q39">
        <f t="shared" si="35"/>
        <v>-0.1052088675</v>
      </c>
      <c r="R39">
        <f t="shared" si="36"/>
        <v>1.01106890580063</v>
      </c>
      <c r="S39">
        <f t="shared" si="37"/>
        <v>-13.22138601</v>
      </c>
      <c r="T39">
        <f t="shared" si="38"/>
        <v>42.7362064055127</v>
      </c>
      <c r="U39">
        <f t="shared" si="39"/>
        <v>5.84456400828078</v>
      </c>
      <c r="V39">
        <f t="shared" si="40"/>
        <v>-0.766128998719224</v>
      </c>
      <c r="W39">
        <f t="shared" si="41"/>
        <v>-0.625933660846999</v>
      </c>
      <c r="X39">
        <f t="shared" si="42"/>
        <v>-0.676328149539488</v>
      </c>
    </row>
    <row r="40" customFormat="1" spans="1:24">
      <c r="A40" s="6">
        <v>-109</v>
      </c>
      <c r="B40" s="6">
        <v>1779</v>
      </c>
      <c r="C40" s="2">
        <v>1715</v>
      </c>
      <c r="D40" s="2">
        <v>1249</v>
      </c>
      <c r="E40" s="4">
        <f t="shared" si="23"/>
        <v>-10.9222440473638</v>
      </c>
      <c r="F40" s="4">
        <f t="shared" si="24"/>
        <v>177.859271656279</v>
      </c>
      <c r="G40">
        <f t="shared" si="25"/>
        <v>-0.6748046875</v>
      </c>
      <c r="H40">
        <f t="shared" si="26"/>
        <v>-0.2197265625</v>
      </c>
      <c r="I40">
        <f t="shared" si="27"/>
        <v>-0.0336249931640625</v>
      </c>
      <c r="J40">
        <f t="shared" si="28"/>
        <v>1.00113312606311</v>
      </c>
      <c r="K40">
        <f t="shared" si="29"/>
        <v>-13.22138601</v>
      </c>
      <c r="L40">
        <f t="shared" si="30"/>
        <v>42.70126204</v>
      </c>
      <c r="M40">
        <f t="shared" si="31"/>
        <v>5.62880778118066</v>
      </c>
      <c r="N40">
        <f t="shared" si="32"/>
        <v>-0.981885225819342</v>
      </c>
      <c r="O40">
        <f t="shared" si="33"/>
        <v>-0.189476656392548</v>
      </c>
      <c r="P40">
        <f t="shared" si="34"/>
        <v>-0.19062912033285</v>
      </c>
      <c r="Q40">
        <f t="shared" si="35"/>
        <v>-0.103266090117188</v>
      </c>
      <c r="R40">
        <f t="shared" si="36"/>
        <v>1.01066388536809</v>
      </c>
      <c r="S40">
        <f t="shared" si="37"/>
        <v>-13.22138601</v>
      </c>
      <c r="T40">
        <f t="shared" si="38"/>
        <v>42.7371634433177</v>
      </c>
      <c r="U40">
        <f t="shared" si="39"/>
        <v>5.83547444720653</v>
      </c>
      <c r="V40">
        <f t="shared" si="40"/>
        <v>-0.775218559793474</v>
      </c>
      <c r="W40">
        <f t="shared" si="41"/>
        <v>-0.613724129499453</v>
      </c>
      <c r="X40">
        <f t="shared" si="42"/>
        <v>-0.660768942809038</v>
      </c>
    </row>
    <row r="41" customFormat="1" spans="1:24">
      <c r="A41" s="6"/>
      <c r="B41" s="6"/>
      <c r="C41" s="2"/>
      <c r="D41" s="2"/>
      <c r="E41" s="4" t="e">
        <f t="shared" si="23"/>
        <v>#NUM!</v>
      </c>
      <c r="F41" s="4" t="e">
        <f t="shared" si="24"/>
        <v>#NUM!</v>
      </c>
      <c r="G41">
        <f t="shared" si="25"/>
        <v>1</v>
      </c>
      <c r="H41">
        <f t="shared" si="26"/>
        <v>1</v>
      </c>
      <c r="I41">
        <f t="shared" si="27"/>
        <v>0.15303108</v>
      </c>
      <c r="J41">
        <f t="shared" si="28"/>
        <v>1.02347000088402</v>
      </c>
      <c r="K41">
        <f t="shared" si="29"/>
        <v>-13.22138601</v>
      </c>
      <c r="L41">
        <f t="shared" si="30"/>
        <v>42.70126204</v>
      </c>
      <c r="M41" t="e">
        <f t="shared" si="31"/>
        <v>#NUM!</v>
      </c>
      <c r="N41" t="e">
        <f t="shared" si="32"/>
        <v>#NUM!</v>
      </c>
      <c r="O41" t="e">
        <f t="shared" si="33"/>
        <v>#NUM!</v>
      </c>
      <c r="P41" t="e">
        <f t="shared" si="34"/>
        <v>#NUM!</v>
      </c>
      <c r="Q41">
        <f t="shared" si="35"/>
        <v>0.15303108</v>
      </c>
      <c r="R41">
        <f t="shared" si="36"/>
        <v>1.02341851144597</v>
      </c>
      <c r="S41">
        <f t="shared" si="37"/>
        <v>-13.22138601</v>
      </c>
      <c r="T41" t="e">
        <f t="shared" si="38"/>
        <v>#NUM!</v>
      </c>
      <c r="U41" t="e">
        <f t="shared" si="39"/>
        <v>#NUM!</v>
      </c>
      <c r="V41" t="e">
        <f t="shared" si="40"/>
        <v>#NUM!</v>
      </c>
      <c r="W41" t="e">
        <f t="shared" si="41"/>
        <v>#NUM!</v>
      </c>
      <c r="X41" t="e">
        <f t="shared" si="42"/>
        <v>#NUM!</v>
      </c>
    </row>
    <row r="42" customFormat="1" spans="1:24">
      <c r="A42" s="6">
        <v>-166</v>
      </c>
      <c r="B42" s="6">
        <v>1743</v>
      </c>
      <c r="C42" s="2">
        <v>1645</v>
      </c>
      <c r="D42" s="2">
        <v>1361</v>
      </c>
      <c r="E42" s="4">
        <f t="shared" si="23"/>
        <v>-16.5571197904062</v>
      </c>
      <c r="F42" s="4">
        <f t="shared" si="24"/>
        <v>174.28903426204</v>
      </c>
      <c r="G42">
        <f t="shared" si="25"/>
        <v>-0.6064453125</v>
      </c>
      <c r="H42">
        <f t="shared" si="26"/>
        <v>-0.3291015625</v>
      </c>
      <c r="I42">
        <f t="shared" si="27"/>
        <v>-0.0503627675390625</v>
      </c>
      <c r="J42">
        <f t="shared" si="28"/>
        <v>1.00254198506393</v>
      </c>
      <c r="K42">
        <f t="shared" si="29"/>
        <v>-13.22138601</v>
      </c>
      <c r="L42">
        <f t="shared" si="30"/>
        <v>42.70126204</v>
      </c>
      <c r="M42">
        <f t="shared" si="31"/>
        <v>5.65215689152035</v>
      </c>
      <c r="N42">
        <f t="shared" si="32"/>
        <v>-0.958536115479651</v>
      </c>
      <c r="O42">
        <f t="shared" si="33"/>
        <v>-0.284971078043335</v>
      </c>
      <c r="P42">
        <f t="shared" si="34"/>
        <v>-0.288976254989702</v>
      </c>
      <c r="Q42">
        <f t="shared" si="35"/>
        <v>-0.0928049811328125</v>
      </c>
      <c r="R42">
        <f t="shared" si="36"/>
        <v>1.00861276452306</v>
      </c>
      <c r="S42">
        <f t="shared" si="37"/>
        <v>-13.22138601</v>
      </c>
      <c r="T42">
        <f t="shared" si="38"/>
        <v>42.7824705553212</v>
      </c>
      <c r="U42">
        <f t="shared" si="39"/>
        <v>5.81874459101178</v>
      </c>
      <c r="V42">
        <f t="shared" si="40"/>
        <v>-0.791948415988222</v>
      </c>
      <c r="W42">
        <f t="shared" si="41"/>
        <v>-0.563367933125414</v>
      </c>
      <c r="X42">
        <f t="shared" si="42"/>
        <v>-0.598456545201747</v>
      </c>
    </row>
    <row r="43" customFormat="1" spans="1:24">
      <c r="A43" s="6">
        <v>-174</v>
      </c>
      <c r="B43" s="6">
        <v>1742</v>
      </c>
      <c r="C43" s="2">
        <v>1640</v>
      </c>
      <c r="D43" s="2">
        <v>1378</v>
      </c>
      <c r="E43" s="4">
        <f t="shared" si="23"/>
        <v>-17.4325581127269</v>
      </c>
      <c r="F43" s="4">
        <f t="shared" si="24"/>
        <v>174.173395716683</v>
      </c>
      <c r="G43">
        <f t="shared" si="25"/>
        <v>-0.6015625</v>
      </c>
      <c r="H43">
        <f t="shared" si="26"/>
        <v>-0.345703125</v>
      </c>
      <c r="I43">
        <f t="shared" si="27"/>
        <v>-0.052903322578125</v>
      </c>
      <c r="J43">
        <f t="shared" si="28"/>
        <v>1.00280491507605</v>
      </c>
      <c r="K43">
        <f t="shared" si="29"/>
        <v>-13.22138601</v>
      </c>
      <c r="L43">
        <f t="shared" si="30"/>
        <v>42.70126204</v>
      </c>
      <c r="M43">
        <f t="shared" si="31"/>
        <v>5.65662276135187</v>
      </c>
      <c r="N43">
        <f t="shared" si="32"/>
        <v>-0.954070245648126</v>
      </c>
      <c r="O43">
        <f t="shared" si="33"/>
        <v>-0.299582987449096</v>
      </c>
      <c r="P43">
        <f t="shared" si="34"/>
        <v>-0.304255536112333</v>
      </c>
      <c r="Q43">
        <f t="shared" si="35"/>
        <v>-0.0920577590625</v>
      </c>
      <c r="R43">
        <f t="shared" si="36"/>
        <v>1.00847463100361</v>
      </c>
      <c r="S43">
        <f t="shared" si="37"/>
        <v>-13.22138601</v>
      </c>
      <c r="T43">
        <f t="shared" si="38"/>
        <v>42.7910120063689</v>
      </c>
      <c r="U43">
        <f t="shared" si="39"/>
        <v>5.82135111928333</v>
      </c>
      <c r="V43">
        <f t="shared" si="40"/>
        <v>-0.789341887716667</v>
      </c>
      <c r="W43">
        <f t="shared" si="41"/>
        <v>-0.56169927701447</v>
      </c>
      <c r="X43">
        <f t="shared" si="42"/>
        <v>-0.59643827184305</v>
      </c>
    </row>
    <row r="44" customFormat="1" spans="1:24">
      <c r="A44" s="6"/>
      <c r="B44" s="6"/>
      <c r="C44" s="2">
        <v>1625</v>
      </c>
      <c r="D44" s="2">
        <v>1387</v>
      </c>
      <c r="E44" s="4">
        <f t="shared" si="23"/>
        <v>-17.8986113800745</v>
      </c>
      <c r="F44" s="4">
        <f t="shared" si="24"/>
        <v>173.289264942601</v>
      </c>
      <c r="G44">
        <f t="shared" si="25"/>
        <v>-0.5869140625</v>
      </c>
      <c r="H44">
        <f t="shared" si="26"/>
        <v>-0.3544921875</v>
      </c>
      <c r="I44">
        <f t="shared" si="27"/>
        <v>-0.0542483223046875</v>
      </c>
      <c r="J44">
        <f t="shared" si="28"/>
        <v>1.00294935087823</v>
      </c>
      <c r="K44">
        <f t="shared" si="29"/>
        <v>-13.22138601</v>
      </c>
      <c r="L44">
        <f t="shared" si="30"/>
        <v>42.70126204</v>
      </c>
      <c r="M44">
        <f t="shared" si="31"/>
        <v>5.6590911543082</v>
      </c>
      <c r="N44">
        <f t="shared" si="32"/>
        <v>-0.951601852691804</v>
      </c>
      <c r="O44">
        <f t="shared" si="33"/>
        <v>-0.307333554877314</v>
      </c>
      <c r="P44">
        <f t="shared" si="34"/>
        <v>-0.312389700117226</v>
      </c>
      <c r="Q44">
        <f t="shared" si="35"/>
        <v>-0.0898160928515625</v>
      </c>
      <c r="R44">
        <f t="shared" si="36"/>
        <v>1.00806693053512</v>
      </c>
      <c r="S44">
        <f t="shared" si="37"/>
        <v>-13.22138601</v>
      </c>
      <c r="T44">
        <f t="shared" si="38"/>
        <v>42.7957159539535</v>
      </c>
      <c r="U44">
        <f t="shared" si="39"/>
        <v>5.81523929984994</v>
      </c>
      <c r="V44">
        <f t="shared" si="40"/>
        <v>-0.795453707150062</v>
      </c>
      <c r="W44">
        <f t="shared" si="41"/>
        <v>-0.548866209742525</v>
      </c>
      <c r="X44">
        <f t="shared" si="42"/>
        <v>-0.581007278817102</v>
      </c>
    </row>
    <row r="45" customFormat="1" spans="1:24">
      <c r="A45" s="6"/>
      <c r="B45" s="6"/>
      <c r="C45" s="2">
        <v>1618</v>
      </c>
      <c r="D45" s="2">
        <v>1375</v>
      </c>
      <c r="E45" s="4">
        <f t="shared" si="23"/>
        <v>-17.277612279639</v>
      </c>
      <c r="F45" s="4">
        <f t="shared" si="24"/>
        <v>172.672629307992</v>
      </c>
      <c r="G45">
        <f t="shared" si="25"/>
        <v>-0.580078125</v>
      </c>
      <c r="H45">
        <f t="shared" si="26"/>
        <v>-0.3427734375</v>
      </c>
      <c r="I45">
        <f t="shared" si="27"/>
        <v>-0.0524549893359375</v>
      </c>
      <c r="J45">
        <f t="shared" si="28"/>
        <v>1.00275757558719</v>
      </c>
      <c r="K45">
        <f t="shared" si="29"/>
        <v>-13.22138601</v>
      </c>
      <c r="L45">
        <f t="shared" si="30"/>
        <v>42.70126204</v>
      </c>
      <c r="M45">
        <f t="shared" si="31"/>
        <v>5.65581608429583</v>
      </c>
      <c r="N45">
        <f t="shared" si="32"/>
        <v>-0.954876922704171</v>
      </c>
      <c r="O45">
        <f t="shared" si="33"/>
        <v>-0.297001788693287</v>
      </c>
      <c r="P45">
        <f t="shared" si="34"/>
        <v>-0.301551221162703</v>
      </c>
      <c r="Q45">
        <f t="shared" si="35"/>
        <v>-0.088769981953125</v>
      </c>
      <c r="R45">
        <f t="shared" si="36"/>
        <v>1.00788010969596</v>
      </c>
      <c r="S45">
        <f t="shared" si="37"/>
        <v>-13.22138601</v>
      </c>
      <c r="T45">
        <f t="shared" si="38"/>
        <v>42.789472102487</v>
      </c>
      <c r="U45">
        <f t="shared" si="39"/>
        <v>5.80690744056203</v>
      </c>
      <c r="V45">
        <f t="shared" si="40"/>
        <v>-0.803785566437967</v>
      </c>
      <c r="W45">
        <f t="shared" si="41"/>
        <v>-0.539838261833312</v>
      </c>
      <c r="X45">
        <f t="shared" si="42"/>
        <v>-0.570244956708061</v>
      </c>
    </row>
    <row r="46" customFormat="1" spans="1:24">
      <c r="A46" s="6"/>
      <c r="B46" s="6"/>
      <c r="C46" s="2"/>
      <c r="D46" s="2"/>
      <c r="E46" s="4" t="e">
        <f t="shared" si="23"/>
        <v>#NUM!</v>
      </c>
      <c r="F46" s="4" t="e">
        <f t="shared" si="24"/>
        <v>#NUM!</v>
      </c>
      <c r="G46">
        <f t="shared" si="25"/>
        <v>1</v>
      </c>
      <c r="H46">
        <f t="shared" si="26"/>
        <v>1</v>
      </c>
      <c r="I46">
        <f t="shared" si="27"/>
        <v>0.15303108</v>
      </c>
      <c r="J46">
        <f t="shared" si="28"/>
        <v>1.02347000088402</v>
      </c>
      <c r="K46">
        <f t="shared" si="29"/>
        <v>-13.22138601</v>
      </c>
      <c r="L46">
        <f t="shared" si="30"/>
        <v>42.70126204</v>
      </c>
      <c r="M46" t="e">
        <f t="shared" si="31"/>
        <v>#NUM!</v>
      </c>
      <c r="N46" t="e">
        <f t="shared" si="32"/>
        <v>#NUM!</v>
      </c>
      <c r="O46" t="e">
        <f t="shared" si="33"/>
        <v>#NUM!</v>
      </c>
      <c r="P46" t="e">
        <f t="shared" si="34"/>
        <v>#NUM!</v>
      </c>
      <c r="Q46">
        <f t="shared" si="35"/>
        <v>0.15303108</v>
      </c>
      <c r="R46">
        <f t="shared" si="36"/>
        <v>1.02341851144597</v>
      </c>
      <c r="S46">
        <f t="shared" si="37"/>
        <v>-13.22138601</v>
      </c>
      <c r="T46" t="e">
        <f t="shared" si="38"/>
        <v>#NUM!</v>
      </c>
      <c r="U46" t="e">
        <f t="shared" si="39"/>
        <v>#NUM!</v>
      </c>
      <c r="V46" t="e">
        <f t="shared" si="40"/>
        <v>#NUM!</v>
      </c>
      <c r="W46" t="e">
        <f t="shared" si="41"/>
        <v>#NUM!</v>
      </c>
      <c r="X46" t="e">
        <f t="shared" si="42"/>
        <v>#NUM!</v>
      </c>
    </row>
    <row r="47" customFormat="1" spans="1:24">
      <c r="A47" s="6"/>
      <c r="B47" s="6"/>
      <c r="C47" s="2">
        <v>549</v>
      </c>
      <c r="D47" s="2">
        <v>1297</v>
      </c>
      <c r="E47" s="4">
        <f t="shared" si="23"/>
        <v>-13.3121380455028</v>
      </c>
      <c r="F47" s="4">
        <f t="shared" si="24"/>
        <v>115.308727359447</v>
      </c>
      <c r="G47">
        <f t="shared" si="25"/>
        <v>0.4638671875</v>
      </c>
      <c r="H47">
        <f t="shared" si="26"/>
        <v>-0.2666015625</v>
      </c>
      <c r="I47">
        <f t="shared" si="27"/>
        <v>-0.0407983250390625</v>
      </c>
      <c r="J47">
        <f t="shared" si="28"/>
        <v>1.00166816300953</v>
      </c>
      <c r="K47">
        <f t="shared" si="29"/>
        <v>-13.22138601</v>
      </c>
      <c r="L47">
        <f t="shared" si="30"/>
        <v>42.70126204</v>
      </c>
      <c r="M47">
        <f t="shared" si="31"/>
        <v>5.63756289183494</v>
      </c>
      <c r="N47">
        <f t="shared" si="32"/>
        <v>-0.973130115165063</v>
      </c>
      <c r="O47">
        <f t="shared" si="33"/>
        <v>-0.23025589885784</v>
      </c>
      <c r="P47">
        <f t="shared" si="34"/>
        <v>-0.232340639374026</v>
      </c>
      <c r="Q47">
        <f t="shared" si="35"/>
        <v>0.0709860966796875</v>
      </c>
      <c r="R47">
        <f t="shared" si="36"/>
        <v>1.00503902592182</v>
      </c>
      <c r="S47">
        <f t="shared" si="37"/>
        <v>-13.22138601</v>
      </c>
      <c r="T47">
        <f t="shared" si="38"/>
        <v>42.7542798189588</v>
      </c>
      <c r="U47">
        <f t="shared" si="39"/>
        <v>5.72653441010331</v>
      </c>
      <c r="V47">
        <f t="shared" si="40"/>
        <v>-0.884158596896685</v>
      </c>
      <c r="W47">
        <f t="shared" si="41"/>
        <v>0.417728683936921</v>
      </c>
      <c r="X47">
        <f t="shared" si="42"/>
        <v>0.430944004085241</v>
      </c>
    </row>
    <row r="48" customFormat="1" spans="1:24">
      <c r="A48" s="6"/>
      <c r="B48" s="6"/>
      <c r="C48" s="2">
        <v>555</v>
      </c>
      <c r="D48" s="2">
        <v>1304</v>
      </c>
      <c r="E48" s="4">
        <f t="shared" si="23"/>
        <v>-13.6635376569586</v>
      </c>
      <c r="F48" s="4">
        <f t="shared" si="24"/>
        <v>115.606459193719</v>
      </c>
      <c r="G48">
        <f t="shared" si="25"/>
        <v>0.4580078125</v>
      </c>
      <c r="H48">
        <f t="shared" si="26"/>
        <v>-0.2734375</v>
      </c>
      <c r="I48">
        <f t="shared" si="27"/>
        <v>-0.0418444359375</v>
      </c>
      <c r="J48">
        <f t="shared" si="28"/>
        <v>1.00175480658465</v>
      </c>
      <c r="K48">
        <f t="shared" si="29"/>
        <v>-13.22138601</v>
      </c>
      <c r="L48">
        <f t="shared" si="30"/>
        <v>42.70126204</v>
      </c>
      <c r="M48">
        <f t="shared" si="31"/>
        <v>5.6389933628065</v>
      </c>
      <c r="N48">
        <f t="shared" si="32"/>
        <v>-0.971699644193497</v>
      </c>
      <c r="O48">
        <f t="shared" si="33"/>
        <v>-0.236219816006684</v>
      </c>
      <c r="P48">
        <f t="shared" si="34"/>
        <v>-0.238473719584159</v>
      </c>
      <c r="Q48">
        <f t="shared" si="35"/>
        <v>0.0700894301953125</v>
      </c>
      <c r="R48">
        <f t="shared" si="36"/>
        <v>1.0049125282251</v>
      </c>
      <c r="S48">
        <f t="shared" si="37"/>
        <v>-13.22138601</v>
      </c>
      <c r="T48">
        <f t="shared" si="38"/>
        <v>42.7570618414742</v>
      </c>
      <c r="U48">
        <f t="shared" si="39"/>
        <v>5.72573677042449</v>
      </c>
      <c r="V48">
        <f t="shared" si="40"/>
        <v>-0.884956236575512</v>
      </c>
      <c r="W48">
        <f t="shared" si="41"/>
        <v>0.413001762008081</v>
      </c>
      <c r="X48">
        <f t="shared" si="42"/>
        <v>0.425747603289194</v>
      </c>
    </row>
    <row r="49" customFormat="1" spans="1:24">
      <c r="A49" s="6"/>
      <c r="B49" s="6"/>
      <c r="C49" s="2">
        <v>556</v>
      </c>
      <c r="D49" s="2">
        <v>1312</v>
      </c>
      <c r="E49" s="4">
        <f t="shared" si="23"/>
        <v>-14.0661218598262</v>
      </c>
      <c r="F49" s="4">
        <f t="shared" si="24"/>
        <v>115.610011635968</v>
      </c>
      <c r="G49">
        <f t="shared" si="25"/>
        <v>0.45703125</v>
      </c>
      <c r="H49">
        <f t="shared" si="26"/>
        <v>-0.28125</v>
      </c>
      <c r="I49">
        <f t="shared" si="27"/>
        <v>-0.04303999125</v>
      </c>
      <c r="J49">
        <f t="shared" si="28"/>
        <v>1.0018565137418</v>
      </c>
      <c r="K49">
        <f t="shared" si="29"/>
        <v>-13.22138601</v>
      </c>
      <c r="L49">
        <f t="shared" si="30"/>
        <v>42.70126204</v>
      </c>
      <c r="M49">
        <f t="shared" si="31"/>
        <v>5.64067711534174</v>
      </c>
      <c r="N49">
        <f t="shared" si="32"/>
        <v>-0.97001589165826</v>
      </c>
      <c r="O49">
        <f t="shared" si="33"/>
        <v>-0.24304149837102</v>
      </c>
      <c r="P49">
        <f t="shared" si="34"/>
        <v>-0.245500139440716</v>
      </c>
      <c r="Q49">
        <f t="shared" si="35"/>
        <v>0.06993998578125</v>
      </c>
      <c r="R49">
        <f t="shared" si="36"/>
        <v>1.00489160161108</v>
      </c>
      <c r="S49">
        <f t="shared" si="37"/>
        <v>-13.22138601</v>
      </c>
      <c r="T49">
        <f t="shared" si="38"/>
        <v>42.7603312099304</v>
      </c>
      <c r="U49">
        <f t="shared" si="39"/>
        <v>5.72724537739001</v>
      </c>
      <c r="V49">
        <f t="shared" si="40"/>
        <v>-0.883447629609989</v>
      </c>
      <c r="W49">
        <f t="shared" si="41"/>
        <v>0.412945294288455</v>
      </c>
      <c r="X49">
        <f t="shared" si="42"/>
        <v>0.425685601475471</v>
      </c>
    </row>
    <row r="50" customFormat="1" spans="1:24">
      <c r="A50" s="6"/>
      <c r="B50" s="6"/>
      <c r="C50" s="2">
        <v>555</v>
      </c>
      <c r="D50" s="2">
        <v>1322</v>
      </c>
      <c r="E50" s="4">
        <f t="shared" si="23"/>
        <v>-14.5708843782517</v>
      </c>
      <c r="F50" s="4">
        <f t="shared" si="24"/>
        <v>115.482736541545</v>
      </c>
      <c r="G50">
        <f t="shared" si="25"/>
        <v>0.4580078125</v>
      </c>
      <c r="H50">
        <f t="shared" si="26"/>
        <v>-0.291015625</v>
      </c>
      <c r="I50">
        <f t="shared" si="27"/>
        <v>-0.044534435390625</v>
      </c>
      <c r="J50">
        <f t="shared" si="28"/>
        <v>1.00198767658091</v>
      </c>
      <c r="K50">
        <f t="shared" si="29"/>
        <v>-13.22138601</v>
      </c>
      <c r="L50">
        <f t="shared" si="30"/>
        <v>42.70126204</v>
      </c>
      <c r="M50">
        <f t="shared" si="31"/>
        <v>5.64285586903129</v>
      </c>
      <c r="N50">
        <f t="shared" si="32"/>
        <v>-0.967837137968711</v>
      </c>
      <c r="O50">
        <f t="shared" si="33"/>
        <v>-0.251577571274816</v>
      </c>
      <c r="P50">
        <f t="shared" si="34"/>
        <v>-0.254309907327898</v>
      </c>
      <c r="Q50">
        <f t="shared" si="35"/>
        <v>0.0700894301953125</v>
      </c>
      <c r="R50">
        <f t="shared" si="36"/>
        <v>1.0049125282251</v>
      </c>
      <c r="S50">
        <f t="shared" si="37"/>
        <v>-13.22138601</v>
      </c>
      <c r="T50">
        <f t="shared" si="38"/>
        <v>42.7645533143685</v>
      </c>
      <c r="U50">
        <f t="shared" si="39"/>
        <v>5.73011966500754</v>
      </c>
      <c r="V50">
        <f t="shared" si="40"/>
        <v>-0.880573341992464</v>
      </c>
      <c r="W50">
        <f t="shared" si="41"/>
        <v>0.414967398972238</v>
      </c>
      <c r="X50">
        <f t="shared" si="42"/>
        <v>0.427906970928935</v>
      </c>
    </row>
    <row r="51" customFormat="1" spans="1:24">
      <c r="A51" s="6">
        <v>-150</v>
      </c>
      <c r="B51" s="6">
        <v>1153</v>
      </c>
      <c r="C51" s="2">
        <v>553</v>
      </c>
      <c r="D51" s="2">
        <v>1330</v>
      </c>
      <c r="E51" s="4">
        <f t="shared" si="23"/>
        <v>-14.9759671586043</v>
      </c>
      <c r="F51" s="4">
        <f t="shared" si="24"/>
        <v>115.309083060149</v>
      </c>
      <c r="G51">
        <f t="shared" si="25"/>
        <v>0.4599609375</v>
      </c>
      <c r="H51">
        <f t="shared" si="26"/>
        <v>-0.298828125</v>
      </c>
      <c r="I51">
        <f t="shared" si="27"/>
        <v>-0.045729990703125</v>
      </c>
      <c r="J51">
        <f t="shared" si="28"/>
        <v>1.00209582996633</v>
      </c>
      <c r="K51">
        <f t="shared" si="29"/>
        <v>-13.22138601</v>
      </c>
      <c r="L51">
        <f t="shared" si="30"/>
        <v>42.70126204</v>
      </c>
      <c r="M51">
        <f t="shared" si="31"/>
        <v>5.64465870346598</v>
      </c>
      <c r="N51">
        <f t="shared" si="32"/>
        <v>-0.966034303534023</v>
      </c>
      <c r="O51">
        <f t="shared" si="33"/>
        <v>-0.258413862622605</v>
      </c>
      <c r="P51">
        <f t="shared" si="34"/>
        <v>-0.261379935588185</v>
      </c>
      <c r="Q51">
        <f t="shared" si="35"/>
        <v>0.0703883190234375</v>
      </c>
      <c r="R51">
        <f t="shared" si="36"/>
        <v>1.00495451545495</v>
      </c>
      <c r="S51">
        <f t="shared" si="37"/>
        <v>-13.22138601</v>
      </c>
      <c r="T51">
        <f t="shared" si="38"/>
        <v>42.7680397643955</v>
      </c>
      <c r="U51">
        <f t="shared" si="39"/>
        <v>5.73297895934913</v>
      </c>
      <c r="V51">
        <f t="shared" si="40"/>
        <v>-0.877714047650867</v>
      </c>
      <c r="W51">
        <f t="shared" si="41"/>
        <v>0.417723043380207</v>
      </c>
      <c r="X51">
        <f t="shared" si="42"/>
        <v>0.43093779593685</v>
      </c>
    </row>
    <row r="52" customFormat="1" spans="1:24">
      <c r="A52" s="6">
        <v>-152</v>
      </c>
      <c r="B52" s="6">
        <v>1151</v>
      </c>
      <c r="C52" s="2">
        <v>550</v>
      </c>
      <c r="D52" s="2">
        <v>1334</v>
      </c>
      <c r="E52" s="4">
        <f t="shared" si="23"/>
        <v>-15.1789463014766</v>
      </c>
      <c r="F52" s="4">
        <f t="shared" si="24"/>
        <v>115.105280704228</v>
      </c>
      <c r="G52">
        <f t="shared" si="25"/>
        <v>0.462890625</v>
      </c>
      <c r="H52">
        <f t="shared" si="26"/>
        <v>-0.302734375</v>
      </c>
      <c r="I52">
        <f t="shared" si="27"/>
        <v>-0.046327768359375</v>
      </c>
      <c r="J52">
        <f t="shared" si="28"/>
        <v>1.00215098103042</v>
      </c>
      <c r="K52">
        <f t="shared" si="29"/>
        <v>-13.22138601</v>
      </c>
      <c r="L52">
        <f t="shared" si="30"/>
        <v>42.70126204</v>
      </c>
      <c r="M52">
        <f t="shared" si="31"/>
        <v>5.64558023459919</v>
      </c>
      <c r="N52">
        <f t="shared" si="32"/>
        <v>-0.965112772400807</v>
      </c>
      <c r="O52">
        <f t="shared" si="33"/>
        <v>-0.261834559500514</v>
      </c>
      <c r="P52">
        <f t="shared" si="34"/>
        <v>-0.264922589944182</v>
      </c>
      <c r="Q52">
        <f t="shared" si="35"/>
        <v>0.070836652265625</v>
      </c>
      <c r="R52">
        <f t="shared" si="36"/>
        <v>1.0050178313042</v>
      </c>
      <c r="S52">
        <f t="shared" si="37"/>
        <v>-13.22138601</v>
      </c>
      <c r="T52">
        <f t="shared" si="38"/>
        <v>42.7698193765488</v>
      </c>
      <c r="U52">
        <f t="shared" si="39"/>
        <v>5.73525579614613</v>
      </c>
      <c r="V52">
        <f t="shared" si="40"/>
        <v>-0.875437210853867</v>
      </c>
      <c r="W52">
        <f t="shared" si="41"/>
        <v>0.420952213254983</v>
      </c>
      <c r="X52">
        <f t="shared" si="42"/>
        <v>0.434494818070984</v>
      </c>
    </row>
    <row r="53" customFormat="1" spans="1:24">
      <c r="A53" s="6">
        <v>-237</v>
      </c>
      <c r="B53" s="6">
        <v>1273</v>
      </c>
      <c r="C53" s="2">
        <v>789</v>
      </c>
      <c r="D53" s="2">
        <v>1496</v>
      </c>
      <c r="E53" s="4">
        <f t="shared" si="23"/>
        <v>-23.7134545882665</v>
      </c>
      <c r="F53" s="4">
        <f t="shared" si="24"/>
        <v>127.3315435201</v>
      </c>
      <c r="G53">
        <f t="shared" si="25"/>
        <v>0.2294921875</v>
      </c>
      <c r="H53">
        <f t="shared" si="26"/>
        <v>-0.4609375</v>
      </c>
      <c r="I53">
        <f t="shared" si="27"/>
        <v>-0.0705377634375</v>
      </c>
      <c r="J53">
        <f t="shared" si="28"/>
        <v>1.00498651569075</v>
      </c>
      <c r="K53">
        <f t="shared" si="29"/>
        <v>-13.22138601</v>
      </c>
      <c r="L53">
        <f t="shared" si="30"/>
        <v>42.70126204</v>
      </c>
      <c r="M53">
        <f t="shared" si="31"/>
        <v>5.69512482704225</v>
      </c>
      <c r="N53">
        <f t="shared" si="32"/>
        <v>-0.915568179957751</v>
      </c>
      <c r="O53">
        <f t="shared" si="33"/>
        <v>-0.402162787747512</v>
      </c>
      <c r="P53">
        <f t="shared" si="34"/>
        <v>-0.413877859587407</v>
      </c>
      <c r="Q53">
        <f t="shared" si="35"/>
        <v>0.0351194373046875</v>
      </c>
      <c r="R53">
        <f t="shared" si="36"/>
        <v>1.0012333748766</v>
      </c>
      <c r="S53">
        <f t="shared" si="37"/>
        <v>-13.22138601</v>
      </c>
      <c r="T53">
        <f t="shared" si="38"/>
        <v>42.8629969478489</v>
      </c>
      <c r="U53">
        <f t="shared" si="39"/>
        <v>5.71741394082345</v>
      </c>
      <c r="V53">
        <f t="shared" si="40"/>
        <v>-0.893279066176547</v>
      </c>
      <c r="W53">
        <f t="shared" si="41"/>
        <v>0.219309101949882</v>
      </c>
      <c r="X53">
        <f t="shared" si="42"/>
        <v>0.221106276719871</v>
      </c>
    </row>
    <row r="54" customFormat="1" spans="1:24">
      <c r="A54" s="1"/>
      <c r="B54" s="1"/>
      <c r="C54" s="2">
        <v>818</v>
      </c>
      <c r="D54" s="2">
        <v>1501</v>
      </c>
      <c r="E54" s="4">
        <f t="shared" si="23"/>
        <v>-23.9890333750805</v>
      </c>
      <c r="F54" s="4">
        <f t="shared" ref="F54:F85" si="43">IF(140-X54*180/PI()&gt;180,140-X54*180/PI()-360,140-X54*180/PI())</f>
        <v>128.898641852006</v>
      </c>
      <c r="G54">
        <f t="shared" si="25"/>
        <v>0.201171875</v>
      </c>
      <c r="H54">
        <f t="shared" si="26"/>
        <v>-0.4658203125</v>
      </c>
      <c r="I54">
        <f t="shared" si="27"/>
        <v>-0.0712849855078125</v>
      </c>
      <c r="J54">
        <f t="shared" si="28"/>
        <v>1.00509272177805</v>
      </c>
      <c r="K54">
        <f t="shared" si="29"/>
        <v>-13.22138601</v>
      </c>
      <c r="L54">
        <f t="shared" si="30"/>
        <v>42.70126204</v>
      </c>
      <c r="M54">
        <f t="shared" si="31"/>
        <v>5.69706971518835</v>
      </c>
      <c r="N54">
        <f t="shared" si="32"/>
        <v>-0.913623291811649</v>
      </c>
      <c r="O54">
        <f t="shared" si="33"/>
        <v>-0.4065617796341</v>
      </c>
      <c r="P54">
        <f t="shared" si="34"/>
        <v>-0.418687616765962</v>
      </c>
      <c r="Q54">
        <f t="shared" si="35"/>
        <v>0.030785549296875</v>
      </c>
      <c r="R54">
        <f t="shared" si="36"/>
        <v>1.00094775004551</v>
      </c>
      <c r="S54">
        <f t="shared" si="37"/>
        <v>-13.22138601</v>
      </c>
      <c r="T54">
        <f t="shared" si="38"/>
        <v>42.8665545206592</v>
      </c>
      <c r="U54">
        <f t="shared" si="39"/>
        <v>5.71416534272885</v>
      </c>
      <c r="V54">
        <f t="shared" si="40"/>
        <v>-0.896527664271145</v>
      </c>
      <c r="W54">
        <f t="shared" si="41"/>
        <v>0.192545227184458</v>
      </c>
      <c r="X54">
        <f t="shared" si="42"/>
        <v>0.193755251125588</v>
      </c>
    </row>
    <row r="55" customFormat="1" spans="1:24">
      <c r="A55" s="1"/>
      <c r="B55" s="1"/>
      <c r="C55" s="2"/>
      <c r="D55" s="2"/>
      <c r="E55" s="4" t="e">
        <f t="shared" si="23"/>
        <v>#NUM!</v>
      </c>
      <c r="F55" s="4" t="e">
        <f t="shared" si="43"/>
        <v>#NUM!</v>
      </c>
      <c r="G55">
        <f t="shared" si="25"/>
        <v>1</v>
      </c>
      <c r="H55">
        <f t="shared" si="26"/>
        <v>1</v>
      </c>
      <c r="I55">
        <f t="shared" si="27"/>
        <v>0.15303108</v>
      </c>
      <c r="J55">
        <f t="shared" si="28"/>
        <v>1.02347000088402</v>
      </c>
      <c r="K55">
        <f t="shared" si="29"/>
        <v>-13.22138601</v>
      </c>
      <c r="L55">
        <f t="shared" si="30"/>
        <v>42.70126204</v>
      </c>
      <c r="M55" t="e">
        <f t="shared" si="31"/>
        <v>#NUM!</v>
      </c>
      <c r="N55" t="e">
        <f t="shared" si="32"/>
        <v>#NUM!</v>
      </c>
      <c r="O55" t="e">
        <f t="shared" si="33"/>
        <v>#NUM!</v>
      </c>
      <c r="P55" t="e">
        <f t="shared" si="34"/>
        <v>#NUM!</v>
      </c>
      <c r="Q55">
        <f t="shared" si="35"/>
        <v>0.15303108</v>
      </c>
      <c r="R55">
        <f t="shared" si="36"/>
        <v>1.02341851144597</v>
      </c>
      <c r="S55">
        <f t="shared" si="37"/>
        <v>-13.22138601</v>
      </c>
      <c r="T55" t="e">
        <f t="shared" si="38"/>
        <v>#NUM!</v>
      </c>
      <c r="U55" t="e">
        <f t="shared" si="39"/>
        <v>#NUM!</v>
      </c>
      <c r="V55" t="e">
        <f t="shared" si="40"/>
        <v>#NUM!</v>
      </c>
      <c r="W55" t="e">
        <f t="shared" si="41"/>
        <v>#NUM!</v>
      </c>
      <c r="X55" t="e">
        <f t="shared" si="42"/>
        <v>#NUM!</v>
      </c>
    </row>
    <row r="56" customFormat="1" spans="1:24">
      <c r="A56" s="1"/>
      <c r="B56" s="1"/>
      <c r="C56" s="2">
        <v>265</v>
      </c>
      <c r="D56" s="2">
        <v>1156</v>
      </c>
      <c r="E56" s="4">
        <f t="shared" si="23"/>
        <v>-6.36857467926717</v>
      </c>
      <c r="F56" s="4">
        <f t="shared" si="43"/>
        <v>97.9079029722805</v>
      </c>
      <c r="G56">
        <f t="shared" si="25"/>
        <v>0.7412109375</v>
      </c>
      <c r="H56">
        <f t="shared" si="26"/>
        <v>-0.12890625</v>
      </c>
      <c r="I56">
        <f t="shared" si="27"/>
        <v>-0.01972666265625</v>
      </c>
      <c r="J56">
        <f t="shared" si="28"/>
        <v>1.00038999681034</v>
      </c>
      <c r="K56">
        <f t="shared" si="29"/>
        <v>-13.22138601</v>
      </c>
      <c r="L56">
        <f t="shared" si="30"/>
        <v>42.70126204</v>
      </c>
      <c r="M56">
        <f t="shared" si="31"/>
        <v>5.61686409935993</v>
      </c>
      <c r="N56">
        <f t="shared" si="32"/>
        <v>-0.993828907640069</v>
      </c>
      <c r="O56">
        <f t="shared" si="33"/>
        <v>-0.110923858294543</v>
      </c>
      <c r="P56">
        <f t="shared" si="34"/>
        <v>-0.111152596812354</v>
      </c>
      <c r="Q56">
        <f t="shared" si="35"/>
        <v>0.113428310273438</v>
      </c>
      <c r="R56">
        <f t="shared" si="36"/>
        <v>1.01286598157149</v>
      </c>
      <c r="S56">
        <f t="shared" si="37"/>
        <v>-13.22138601</v>
      </c>
      <c r="T56">
        <f t="shared" si="38"/>
        <v>42.7135661423389</v>
      </c>
      <c r="U56">
        <f t="shared" si="39"/>
        <v>5.87320407126862</v>
      </c>
      <c r="V56">
        <f t="shared" si="40"/>
        <v>-0.737488935731379</v>
      </c>
      <c r="W56">
        <f t="shared" si="41"/>
        <v>0.670324269711707</v>
      </c>
      <c r="X56">
        <f t="shared" si="42"/>
        <v>0.734645682202624</v>
      </c>
    </row>
    <row r="57" customFormat="1" spans="1:24">
      <c r="A57" s="1"/>
      <c r="B57" s="1"/>
      <c r="C57" s="2">
        <v>250</v>
      </c>
      <c r="D57" s="2">
        <v>1166</v>
      </c>
      <c r="E57" s="4">
        <f t="shared" si="23"/>
        <v>-6.85446980999697</v>
      </c>
      <c r="F57" s="4">
        <f t="shared" si="43"/>
        <v>96.6855367126977</v>
      </c>
      <c r="G57">
        <f t="shared" si="25"/>
        <v>0.755859375</v>
      </c>
      <c r="H57">
        <f t="shared" si="26"/>
        <v>-0.138671875</v>
      </c>
      <c r="I57">
        <f t="shared" si="27"/>
        <v>-0.021221106796875</v>
      </c>
      <c r="J57">
        <f t="shared" si="28"/>
        <v>1.00045132550986</v>
      </c>
      <c r="K57">
        <f t="shared" si="29"/>
        <v>-13.22138601</v>
      </c>
      <c r="L57">
        <f t="shared" si="30"/>
        <v>42.70126204</v>
      </c>
      <c r="M57">
        <f t="shared" si="31"/>
        <v>5.61784051158333</v>
      </c>
      <c r="N57">
        <f t="shared" si="32"/>
        <v>-0.992852495416668</v>
      </c>
      <c r="O57">
        <f t="shared" si="33"/>
        <v>-0.119347904652305</v>
      </c>
      <c r="P57">
        <f t="shared" si="34"/>
        <v>-0.119633066662997</v>
      </c>
      <c r="Q57">
        <f t="shared" si="35"/>
        <v>0.115669976484375</v>
      </c>
      <c r="R57">
        <f t="shared" si="36"/>
        <v>1.0133795434599</v>
      </c>
      <c r="S57">
        <f t="shared" si="37"/>
        <v>-13.22138601</v>
      </c>
      <c r="T57">
        <f t="shared" si="38"/>
        <v>42.7155059623449</v>
      </c>
      <c r="U57">
        <f t="shared" si="39"/>
        <v>5.88829391657752</v>
      </c>
      <c r="V57">
        <f t="shared" si="40"/>
        <v>-0.722399090422477</v>
      </c>
      <c r="W57">
        <f t="shared" si="41"/>
        <v>0.686002044195778</v>
      </c>
      <c r="X57">
        <f t="shared" si="42"/>
        <v>0.755979998097631</v>
      </c>
    </row>
    <row r="58" customFormat="1" spans="1:24">
      <c r="A58" s="1"/>
      <c r="B58" s="1"/>
      <c r="C58" s="2">
        <v>234</v>
      </c>
      <c r="D58" s="2">
        <v>1185</v>
      </c>
      <c r="E58" s="4">
        <f t="shared" si="23"/>
        <v>-7.7798135500088</v>
      </c>
      <c r="F58" s="4">
        <f t="shared" si="43"/>
        <v>95.2631462284023</v>
      </c>
      <c r="G58">
        <f t="shared" si="25"/>
        <v>0.771484375</v>
      </c>
      <c r="H58">
        <f t="shared" si="26"/>
        <v>-0.1572265625</v>
      </c>
      <c r="I58">
        <f t="shared" si="27"/>
        <v>-0.0240605506640625</v>
      </c>
      <c r="J58">
        <f t="shared" si="28"/>
        <v>1.00058018292705</v>
      </c>
      <c r="K58">
        <f t="shared" si="29"/>
        <v>-13.22138601</v>
      </c>
      <c r="L58">
        <f t="shared" si="30"/>
        <v>42.70126204</v>
      </c>
      <c r="M58">
        <f t="shared" si="31"/>
        <v>5.61989741270727</v>
      </c>
      <c r="N58">
        <f t="shared" si="32"/>
        <v>-0.990795594292728</v>
      </c>
      <c r="O58">
        <f t="shared" si="33"/>
        <v>-0.135366503722743</v>
      </c>
      <c r="P58">
        <f t="shared" si="34"/>
        <v>-0.135783361638922</v>
      </c>
      <c r="Q58">
        <f t="shared" si="35"/>
        <v>0.118061087109375</v>
      </c>
      <c r="R58">
        <f t="shared" si="36"/>
        <v>1.01393842028945</v>
      </c>
      <c r="S58">
        <f t="shared" si="37"/>
        <v>-13.22138601</v>
      </c>
      <c r="T58">
        <f t="shared" si="38"/>
        <v>42.7195861303301</v>
      </c>
      <c r="U58">
        <f t="shared" si="39"/>
        <v>5.90688443839922</v>
      </c>
      <c r="V58">
        <f t="shared" si="40"/>
        <v>-0.703808568600778</v>
      </c>
      <c r="W58">
        <f t="shared" si="41"/>
        <v>0.703851757463883</v>
      </c>
      <c r="X58">
        <f t="shared" si="42"/>
        <v>0.780805395297624</v>
      </c>
    </row>
    <row r="59" customFormat="1" spans="1:24">
      <c r="A59" s="1"/>
      <c r="B59" s="1"/>
      <c r="C59" s="2">
        <v>235</v>
      </c>
      <c r="D59" s="2">
        <v>1200</v>
      </c>
      <c r="E59" s="4">
        <f t="shared" si="23"/>
        <v>-8.51254681205472</v>
      </c>
      <c r="F59" s="4">
        <f t="shared" si="43"/>
        <v>95.212836297052</v>
      </c>
      <c r="G59">
        <f t="shared" si="25"/>
        <v>0.7705078125</v>
      </c>
      <c r="H59">
        <f t="shared" si="26"/>
        <v>-0.171875</v>
      </c>
      <c r="I59">
        <f t="shared" si="27"/>
        <v>-0.026302216875</v>
      </c>
      <c r="J59">
        <f t="shared" si="28"/>
        <v>1.00069332766283</v>
      </c>
      <c r="K59">
        <f t="shared" si="29"/>
        <v>-13.22138601</v>
      </c>
      <c r="L59">
        <f t="shared" si="30"/>
        <v>42.70126204</v>
      </c>
      <c r="M59">
        <f t="shared" si="31"/>
        <v>5.62170953512631</v>
      </c>
      <c r="N59">
        <f t="shared" si="32"/>
        <v>-0.988983471873695</v>
      </c>
      <c r="O59">
        <f t="shared" si="33"/>
        <v>-0.148025985423683</v>
      </c>
      <c r="P59">
        <f t="shared" si="34"/>
        <v>-0.148571969600502</v>
      </c>
      <c r="Q59">
        <f t="shared" si="35"/>
        <v>0.117911642695313</v>
      </c>
      <c r="R59">
        <f t="shared" si="36"/>
        <v>1.01390315548311</v>
      </c>
      <c r="S59">
        <f t="shared" si="37"/>
        <v>-13.22138601</v>
      </c>
      <c r="T59">
        <f t="shared" si="38"/>
        <v>42.7231737323607</v>
      </c>
      <c r="U59">
        <f t="shared" si="39"/>
        <v>5.90878316997547</v>
      </c>
      <c r="V59">
        <f t="shared" si="40"/>
        <v>-0.701909837024533</v>
      </c>
      <c r="W59">
        <f t="shared" si="41"/>
        <v>0.704475223142154</v>
      </c>
      <c r="X59">
        <f t="shared" si="42"/>
        <v>0.781683469246137</v>
      </c>
    </row>
    <row r="60" customFormat="1" spans="1:24">
      <c r="A60" s="1"/>
      <c r="B60" s="1"/>
      <c r="C60" s="2">
        <v>235</v>
      </c>
      <c r="D60" s="2">
        <v>1212</v>
      </c>
      <c r="E60" s="4">
        <f t="shared" si="23"/>
        <v>-9.10027598596941</v>
      </c>
      <c r="F60" s="4">
        <f t="shared" si="43"/>
        <v>95.0980817456315</v>
      </c>
      <c r="G60">
        <f t="shared" si="25"/>
        <v>0.7705078125</v>
      </c>
      <c r="H60">
        <f t="shared" si="26"/>
        <v>-0.18359375</v>
      </c>
      <c r="I60">
        <f t="shared" si="27"/>
        <v>-0.02809554984375</v>
      </c>
      <c r="J60">
        <f t="shared" si="28"/>
        <v>1.00079109545826</v>
      </c>
      <c r="K60">
        <f t="shared" si="29"/>
        <v>-13.22138601</v>
      </c>
      <c r="L60">
        <f t="shared" si="30"/>
        <v>42.70126204</v>
      </c>
      <c r="M60">
        <f t="shared" si="31"/>
        <v>5.62327996208642</v>
      </c>
      <c r="N60">
        <f t="shared" si="32"/>
        <v>-0.987413044913579</v>
      </c>
      <c r="O60">
        <f t="shared" si="33"/>
        <v>-0.158162823490525</v>
      </c>
      <c r="P60">
        <f t="shared" si="34"/>
        <v>-0.15882977879534</v>
      </c>
      <c r="Q60">
        <f t="shared" si="35"/>
        <v>0.117911642695313</v>
      </c>
      <c r="R60">
        <f t="shared" si="36"/>
        <v>1.01390315548311</v>
      </c>
      <c r="S60">
        <f t="shared" si="37"/>
        <v>-13.22138601</v>
      </c>
      <c r="T60">
        <f t="shared" si="38"/>
        <v>42.7262775187345</v>
      </c>
      <c r="U60">
        <f t="shared" si="39"/>
        <v>5.91129234640745</v>
      </c>
      <c r="V60">
        <f t="shared" si="40"/>
        <v>-0.699400660592546</v>
      </c>
      <c r="W60">
        <f t="shared" si="41"/>
        <v>0.70589528539786</v>
      </c>
      <c r="X60">
        <f t="shared" si="42"/>
        <v>0.783686314000075</v>
      </c>
    </row>
    <row r="61" customFormat="1" spans="1:24">
      <c r="A61" s="1"/>
      <c r="B61" s="1"/>
      <c r="C61" s="2">
        <v>234</v>
      </c>
      <c r="D61" s="2">
        <v>1221</v>
      </c>
      <c r="E61" s="4">
        <f t="shared" si="23"/>
        <v>-9.54204059892523</v>
      </c>
      <c r="F61" s="4">
        <f t="shared" si="43"/>
        <v>94.9239653150923</v>
      </c>
      <c r="G61">
        <f t="shared" si="25"/>
        <v>0.771484375</v>
      </c>
      <c r="H61">
        <f t="shared" si="26"/>
        <v>-0.1923828125</v>
      </c>
      <c r="I61">
        <f t="shared" si="27"/>
        <v>-0.0294405495703125</v>
      </c>
      <c r="J61">
        <f t="shared" si="28"/>
        <v>1.00086865164214</v>
      </c>
      <c r="K61">
        <f t="shared" si="29"/>
        <v>-13.22138601</v>
      </c>
      <c r="L61">
        <f t="shared" si="30"/>
        <v>42.70126204</v>
      </c>
      <c r="M61">
        <f t="shared" si="31"/>
        <v>5.62452877411664</v>
      </c>
      <c r="N61">
        <f t="shared" si="32"/>
        <v>-0.986164232883358</v>
      </c>
      <c r="O61">
        <f t="shared" si="33"/>
        <v>-0.165771245340008</v>
      </c>
      <c r="P61">
        <f t="shared" si="34"/>
        <v>-0.166540025810217</v>
      </c>
      <c r="Q61">
        <f t="shared" si="35"/>
        <v>0.118061087109375</v>
      </c>
      <c r="R61">
        <f t="shared" si="36"/>
        <v>1.01393842028945</v>
      </c>
      <c r="S61">
        <f t="shared" si="37"/>
        <v>-13.22138601</v>
      </c>
      <c r="T61">
        <f t="shared" si="38"/>
        <v>42.7287421457816</v>
      </c>
      <c r="U61">
        <f t="shared" si="39"/>
        <v>5.91429559125575</v>
      </c>
      <c r="V61">
        <f t="shared" si="40"/>
        <v>-0.696397415744246</v>
      </c>
      <c r="W61">
        <f t="shared" si="41"/>
        <v>0.708044528288529</v>
      </c>
      <c r="X61">
        <f t="shared" si="42"/>
        <v>0.786725218994804</v>
      </c>
    </row>
    <row r="62" customFormat="1" spans="1:24">
      <c r="A62" s="1"/>
      <c r="B62" s="1"/>
      <c r="C62" s="2">
        <v>233</v>
      </c>
      <c r="D62" s="2">
        <v>1227</v>
      </c>
      <c r="E62" s="4">
        <f t="shared" si="23"/>
        <v>-9.83703582607332</v>
      </c>
      <c r="F62" s="4">
        <f t="shared" si="43"/>
        <v>94.7770795580865</v>
      </c>
      <c r="G62">
        <f t="shared" si="25"/>
        <v>0.7724609375</v>
      </c>
      <c r="H62">
        <f t="shared" si="26"/>
        <v>-0.1982421875</v>
      </c>
      <c r="I62">
        <f t="shared" si="27"/>
        <v>-0.0303372160546875</v>
      </c>
      <c r="J62">
        <f t="shared" si="28"/>
        <v>1.00092237021106</v>
      </c>
      <c r="K62">
        <f t="shared" si="29"/>
        <v>-13.22138601</v>
      </c>
      <c r="L62">
        <f t="shared" si="30"/>
        <v>42.70126204</v>
      </c>
      <c r="M62">
        <f t="shared" si="31"/>
        <v>5.62539533730265</v>
      </c>
      <c r="N62">
        <f t="shared" si="32"/>
        <v>-0.985297669697348</v>
      </c>
      <c r="O62">
        <f t="shared" si="33"/>
        <v>-0.170846428376408</v>
      </c>
      <c r="P62">
        <f t="shared" si="34"/>
        <v>-0.17168866380162</v>
      </c>
      <c r="Q62">
        <f t="shared" si="35"/>
        <v>0.118210531523438</v>
      </c>
      <c r="R62">
        <f t="shared" si="36"/>
        <v>1.01397372976305</v>
      </c>
      <c r="S62">
        <f t="shared" si="37"/>
        <v>-13.22138601</v>
      </c>
      <c r="T62">
        <f t="shared" si="38"/>
        <v>42.730450542089</v>
      </c>
      <c r="U62">
        <f t="shared" si="39"/>
        <v>5.91669829882809</v>
      </c>
      <c r="V62">
        <f t="shared" si="40"/>
        <v>-0.693994708171914</v>
      </c>
      <c r="W62">
        <f t="shared" si="41"/>
        <v>0.709852559633247</v>
      </c>
      <c r="X62">
        <f t="shared" si="42"/>
        <v>0.78928885907884</v>
      </c>
    </row>
    <row r="63" customFormat="1" spans="1:24">
      <c r="A63" s="1"/>
      <c r="B63" s="1"/>
      <c r="C63" s="2">
        <v>237</v>
      </c>
      <c r="D63" s="2">
        <v>1225</v>
      </c>
      <c r="E63" s="4">
        <f t="shared" si="23"/>
        <v>-9.73865986303834</v>
      </c>
      <c r="F63" s="4">
        <f t="shared" si="43"/>
        <v>95.1285395309753</v>
      </c>
      <c r="G63">
        <f t="shared" si="25"/>
        <v>0.7685546875</v>
      </c>
      <c r="H63">
        <f t="shared" si="26"/>
        <v>-0.1962890625</v>
      </c>
      <c r="I63">
        <f t="shared" si="27"/>
        <v>-0.0300383272265625</v>
      </c>
      <c r="J63">
        <f t="shared" si="28"/>
        <v>1.00090428495952</v>
      </c>
      <c r="K63">
        <f t="shared" si="29"/>
        <v>-13.22138601</v>
      </c>
      <c r="L63">
        <f t="shared" si="30"/>
        <v>42.70126204</v>
      </c>
      <c r="M63">
        <f t="shared" si="31"/>
        <v>5.62510344913021</v>
      </c>
      <c r="N63">
        <f t="shared" si="32"/>
        <v>-0.985589557869786</v>
      </c>
      <c r="O63">
        <f t="shared" si="33"/>
        <v>-0.16915443658988</v>
      </c>
      <c r="P63">
        <f t="shared" si="34"/>
        <v>-0.169971679341839</v>
      </c>
      <c r="Q63">
        <f t="shared" si="35"/>
        <v>0.117612753867188</v>
      </c>
      <c r="R63">
        <f t="shared" si="36"/>
        <v>1.01383275987222</v>
      </c>
      <c r="S63">
        <f t="shared" si="37"/>
        <v>-13.22138601</v>
      </c>
      <c r="T63">
        <f t="shared" si="38"/>
        <v>42.729875263418</v>
      </c>
      <c r="U63">
        <f t="shared" si="39"/>
        <v>5.91221421203221</v>
      </c>
      <c r="V63">
        <f t="shared" si="40"/>
        <v>-0.698478794967788</v>
      </c>
      <c r="W63">
        <f t="shared" si="41"/>
        <v>0.705518652831381</v>
      </c>
      <c r="X63">
        <f t="shared" si="42"/>
        <v>0.783154725362959</v>
      </c>
    </row>
    <row r="64" customFormat="1" spans="1:24">
      <c r="A64" s="1"/>
      <c r="B64" s="1"/>
      <c r="C64" s="2">
        <v>241</v>
      </c>
      <c r="D64" s="2">
        <v>1222</v>
      </c>
      <c r="E64" s="4">
        <f t="shared" si="23"/>
        <v>-9.59117898667136</v>
      </c>
      <c r="F64" s="4">
        <f t="shared" si="43"/>
        <v>95.4867402843677</v>
      </c>
      <c r="G64">
        <f t="shared" si="25"/>
        <v>0.7646484375</v>
      </c>
      <c r="H64">
        <f t="shared" si="26"/>
        <v>-0.193359375</v>
      </c>
      <c r="I64">
        <f t="shared" si="27"/>
        <v>-0.029589993984375</v>
      </c>
      <c r="J64">
        <f t="shared" si="28"/>
        <v>1.00087749282327</v>
      </c>
      <c r="K64">
        <f t="shared" si="29"/>
        <v>-13.22138601</v>
      </c>
      <c r="L64">
        <f t="shared" si="30"/>
        <v>42.70126204</v>
      </c>
      <c r="M64">
        <f t="shared" si="31"/>
        <v>5.62467130661135</v>
      </c>
      <c r="N64">
        <f t="shared" si="32"/>
        <v>-0.98602170038865</v>
      </c>
      <c r="O64">
        <f t="shared" si="33"/>
        <v>-0.166616945004627</v>
      </c>
      <c r="P64">
        <f t="shared" si="34"/>
        <v>-0.167397652465509</v>
      </c>
      <c r="Q64">
        <f t="shared" si="35"/>
        <v>0.117014976210938</v>
      </c>
      <c r="R64">
        <f t="shared" si="36"/>
        <v>1.01369250465765</v>
      </c>
      <c r="S64">
        <f t="shared" si="37"/>
        <v>-13.22138601</v>
      </c>
      <c r="T64">
        <f t="shared" si="38"/>
        <v>42.7290232463627</v>
      </c>
      <c r="U64">
        <f t="shared" si="39"/>
        <v>5.90757254616997</v>
      </c>
      <c r="V64">
        <f t="shared" si="40"/>
        <v>-0.703120460830033</v>
      </c>
      <c r="W64">
        <f t="shared" si="41"/>
        <v>0.701074310010157</v>
      </c>
      <c r="X64">
        <f t="shared" si="42"/>
        <v>0.776902942833139</v>
      </c>
    </row>
    <row r="65" customFormat="1" spans="1:24">
      <c r="A65" s="1"/>
      <c r="B65" s="1"/>
      <c r="C65" s="2">
        <v>249</v>
      </c>
      <c r="D65" s="2">
        <v>1217</v>
      </c>
      <c r="E65" s="4">
        <f t="shared" si="23"/>
        <v>-9.34559492922115</v>
      </c>
      <c r="F65" s="4">
        <f t="shared" si="43"/>
        <v>96.1813396911502</v>
      </c>
      <c r="G65">
        <f t="shared" si="25"/>
        <v>0.7568359375</v>
      </c>
      <c r="H65">
        <f t="shared" si="26"/>
        <v>-0.1884765625</v>
      </c>
      <c r="I65">
        <f t="shared" si="27"/>
        <v>-0.0288427719140625</v>
      </c>
      <c r="J65">
        <f t="shared" si="28"/>
        <v>1.00083373457234</v>
      </c>
      <c r="K65">
        <f t="shared" si="29"/>
        <v>-13.22138601</v>
      </c>
      <c r="L65">
        <f t="shared" si="30"/>
        <v>42.70126204</v>
      </c>
      <c r="M65">
        <f t="shared" si="31"/>
        <v>5.6239662044052</v>
      </c>
      <c r="N65">
        <f t="shared" si="32"/>
        <v>-0.986726802594797</v>
      </c>
      <c r="O65">
        <f t="shared" si="33"/>
        <v>-0.162389091508786</v>
      </c>
      <c r="P65">
        <f t="shared" si="34"/>
        <v>-0.163111402072596</v>
      </c>
      <c r="Q65">
        <f t="shared" si="35"/>
        <v>0.115819420898438</v>
      </c>
      <c r="R65">
        <f t="shared" si="36"/>
        <v>1.01341413825725</v>
      </c>
      <c r="S65">
        <f t="shared" si="37"/>
        <v>-13.22138601</v>
      </c>
      <c r="T65">
        <f t="shared" si="38"/>
        <v>42.7276322570411</v>
      </c>
      <c r="U65">
        <f t="shared" si="39"/>
        <v>5.89873531045191</v>
      </c>
      <c r="V65">
        <f t="shared" si="40"/>
        <v>-0.711957696548092</v>
      </c>
      <c r="W65">
        <f t="shared" si="41"/>
        <v>0.692378202793066</v>
      </c>
      <c r="X65">
        <f t="shared" si="42"/>
        <v>0.764779896202385</v>
      </c>
    </row>
    <row r="66" customFormat="1" spans="1:24">
      <c r="A66" s="1"/>
      <c r="B66" s="1"/>
      <c r="C66" s="2">
        <v>259</v>
      </c>
      <c r="D66" s="2">
        <v>1221</v>
      </c>
      <c r="E66" s="4">
        <f t="shared" si="23"/>
        <v>-9.54204059892523</v>
      </c>
      <c r="F66" s="4">
        <f t="shared" si="43"/>
        <v>96.9332815503934</v>
      </c>
      <c r="G66">
        <f t="shared" si="25"/>
        <v>0.7470703125</v>
      </c>
      <c r="H66">
        <f t="shared" si="26"/>
        <v>-0.1923828125</v>
      </c>
      <c r="I66">
        <f t="shared" si="27"/>
        <v>-0.0294405495703125</v>
      </c>
      <c r="J66">
        <f t="shared" si="28"/>
        <v>1.00086865164214</v>
      </c>
      <c r="K66">
        <f t="shared" si="29"/>
        <v>-13.22138601</v>
      </c>
      <c r="L66">
        <f t="shared" si="30"/>
        <v>42.70126204</v>
      </c>
      <c r="M66">
        <f t="shared" si="31"/>
        <v>5.62452877411664</v>
      </c>
      <c r="N66">
        <f t="shared" si="32"/>
        <v>-0.986164232883358</v>
      </c>
      <c r="O66">
        <f t="shared" si="33"/>
        <v>-0.165771245340008</v>
      </c>
      <c r="P66">
        <f t="shared" si="34"/>
        <v>-0.166540025810217</v>
      </c>
      <c r="Q66">
        <f t="shared" si="35"/>
        <v>0.114324976757813</v>
      </c>
      <c r="R66">
        <f t="shared" si="36"/>
        <v>1.01307020031067</v>
      </c>
      <c r="S66">
        <f t="shared" si="37"/>
        <v>-13.22138601</v>
      </c>
      <c r="T66">
        <f t="shared" si="38"/>
        <v>42.7287421457816</v>
      </c>
      <c r="U66">
        <f t="shared" si="39"/>
        <v>5.89024180340701</v>
      </c>
      <c r="V66">
        <f t="shared" si="40"/>
        <v>-0.720451203592991</v>
      </c>
      <c r="W66">
        <f t="shared" si="41"/>
        <v>0.682849527146663</v>
      </c>
      <c r="X66">
        <f t="shared" si="42"/>
        <v>0.751656034975023</v>
      </c>
    </row>
    <row r="67" customFormat="1" spans="1:24">
      <c r="A67" s="1"/>
      <c r="B67" s="1"/>
      <c r="C67" s="2">
        <v>261</v>
      </c>
      <c r="D67" s="2">
        <v>1234</v>
      </c>
      <c r="E67" s="4">
        <f t="shared" si="23"/>
        <v>-10.1817084120786</v>
      </c>
      <c r="F67" s="4">
        <f t="shared" si="43"/>
        <v>96.9596326319666</v>
      </c>
      <c r="G67">
        <f t="shared" si="25"/>
        <v>0.7451171875</v>
      </c>
      <c r="H67">
        <f t="shared" si="26"/>
        <v>-0.205078125</v>
      </c>
      <c r="I67">
        <f t="shared" si="27"/>
        <v>-0.031383326953125</v>
      </c>
      <c r="J67">
        <f t="shared" si="28"/>
        <v>1.00098707870387</v>
      </c>
      <c r="K67">
        <f t="shared" si="29"/>
        <v>-13.22138601</v>
      </c>
      <c r="L67">
        <f t="shared" si="30"/>
        <v>42.70126204</v>
      </c>
      <c r="M67">
        <f t="shared" si="31"/>
        <v>5.62644091515996</v>
      </c>
      <c r="N67">
        <f t="shared" si="32"/>
        <v>-0.984252091840036</v>
      </c>
      <c r="O67">
        <f t="shared" si="33"/>
        <v>-0.176770528393491</v>
      </c>
      <c r="P67">
        <f t="shared" si="34"/>
        <v>-0.177704335268775</v>
      </c>
      <c r="Q67">
        <f t="shared" si="35"/>
        <v>0.114026087929688</v>
      </c>
      <c r="R67">
        <f t="shared" si="36"/>
        <v>1.01300194872855</v>
      </c>
      <c r="S67">
        <f t="shared" si="37"/>
        <v>-13.22138601</v>
      </c>
      <c r="T67">
        <f t="shared" si="38"/>
        <v>42.7325098597085</v>
      </c>
      <c r="U67">
        <f t="shared" si="39"/>
        <v>5.89132970559318</v>
      </c>
      <c r="V67">
        <f t="shared" si="40"/>
        <v>-0.719363301406815</v>
      </c>
      <c r="W67">
        <f t="shared" si="41"/>
        <v>0.682513461238099</v>
      </c>
      <c r="X67">
        <f t="shared" si="42"/>
        <v>0.751196121840109</v>
      </c>
    </row>
    <row r="68" customFormat="1" spans="1:24">
      <c r="A68" s="1"/>
      <c r="B68" s="1"/>
      <c r="C68" s="2">
        <v>253</v>
      </c>
      <c r="D68" s="2">
        <v>1227</v>
      </c>
      <c r="E68" s="4">
        <f t="shared" si="23"/>
        <v>-9.83703582607332</v>
      </c>
      <c r="F68" s="4">
        <f t="shared" si="43"/>
        <v>96.3999189093138</v>
      </c>
      <c r="G68">
        <f t="shared" si="25"/>
        <v>0.7529296875</v>
      </c>
      <c r="H68">
        <f t="shared" si="26"/>
        <v>-0.1982421875</v>
      </c>
      <c r="I68">
        <f t="shared" si="27"/>
        <v>-0.0303372160546875</v>
      </c>
      <c r="J68">
        <f t="shared" si="28"/>
        <v>1.00092237021106</v>
      </c>
      <c r="K68">
        <f t="shared" si="29"/>
        <v>-13.22138601</v>
      </c>
      <c r="L68">
        <f t="shared" si="30"/>
        <v>42.70126204</v>
      </c>
      <c r="M68">
        <f t="shared" si="31"/>
        <v>5.62539533730265</v>
      </c>
      <c r="N68">
        <f t="shared" si="32"/>
        <v>-0.985297669697348</v>
      </c>
      <c r="O68">
        <f t="shared" si="33"/>
        <v>-0.170846428376408</v>
      </c>
      <c r="P68">
        <f t="shared" si="34"/>
        <v>-0.17168866380162</v>
      </c>
      <c r="Q68">
        <f t="shared" si="35"/>
        <v>0.115221643242188</v>
      </c>
      <c r="R68">
        <f t="shared" si="36"/>
        <v>1.01327602707143</v>
      </c>
      <c r="S68">
        <f t="shared" si="37"/>
        <v>-13.22138601</v>
      </c>
      <c r="T68">
        <f t="shared" si="38"/>
        <v>42.730450542089</v>
      </c>
      <c r="U68">
        <f t="shared" si="39"/>
        <v>5.89716912113442</v>
      </c>
      <c r="V68">
        <f t="shared" si="40"/>
        <v>-0.713523885865582</v>
      </c>
      <c r="W68">
        <f t="shared" si="41"/>
        <v>0.689620568655029</v>
      </c>
      <c r="X68">
        <f t="shared" si="42"/>
        <v>0.760964969168995</v>
      </c>
    </row>
    <row r="69" customFormat="1" spans="1:24">
      <c r="A69" s="1"/>
      <c r="B69" s="1"/>
      <c r="C69" s="2">
        <v>248</v>
      </c>
      <c r="D69" s="2">
        <v>1215</v>
      </c>
      <c r="E69" s="4">
        <f t="shared" si="23"/>
        <v>-9.24743596545497</v>
      </c>
      <c r="F69" s="4">
        <f t="shared" si="43"/>
        <v>96.1209411265397</v>
      </c>
      <c r="G69">
        <f t="shared" si="25"/>
        <v>0.7578125</v>
      </c>
      <c r="H69">
        <f t="shared" si="26"/>
        <v>-0.1865234375</v>
      </c>
      <c r="I69">
        <f t="shared" si="27"/>
        <v>-0.0285438830859375</v>
      </c>
      <c r="J69">
        <f t="shared" si="28"/>
        <v>1.00081654463029</v>
      </c>
      <c r="K69">
        <f t="shared" si="29"/>
        <v>-13.22138601</v>
      </c>
      <c r="L69">
        <f t="shared" si="30"/>
        <v>42.70126204</v>
      </c>
      <c r="M69">
        <f t="shared" si="31"/>
        <v>5.62368944806244</v>
      </c>
      <c r="N69">
        <f t="shared" si="32"/>
        <v>-0.987003558937561</v>
      </c>
      <c r="O69">
        <f t="shared" si="33"/>
        <v>-0.160698396521524</v>
      </c>
      <c r="P69">
        <f t="shared" si="34"/>
        <v>-0.16139820496453</v>
      </c>
      <c r="Q69">
        <f t="shared" si="35"/>
        <v>0.1159688653125</v>
      </c>
      <c r="R69">
        <f t="shared" si="36"/>
        <v>1.01344877772187</v>
      </c>
      <c r="S69">
        <f t="shared" si="37"/>
        <v>-13.22138601</v>
      </c>
      <c r="T69">
        <f t="shared" si="38"/>
        <v>42.7270860146446</v>
      </c>
      <c r="U69">
        <f t="shared" si="39"/>
        <v>5.89925640405481</v>
      </c>
      <c r="V69">
        <f t="shared" si="40"/>
        <v>-0.71143660294519</v>
      </c>
      <c r="W69">
        <f t="shared" si="41"/>
        <v>0.693138426584068</v>
      </c>
      <c r="X69">
        <f t="shared" si="42"/>
        <v>0.765834050018316</v>
      </c>
    </row>
    <row r="70" customFormat="1" spans="1:24">
      <c r="A70" s="1"/>
      <c r="B70" s="1"/>
      <c r="C70" s="2">
        <v>252</v>
      </c>
      <c r="D70" s="2">
        <v>1202</v>
      </c>
      <c r="E70" s="4">
        <f t="shared" si="23"/>
        <v>-8.61040308618368</v>
      </c>
      <c r="F70" s="4">
        <f t="shared" si="43"/>
        <v>96.5589411759917</v>
      </c>
      <c r="G70">
        <f t="shared" si="25"/>
        <v>0.75390625</v>
      </c>
      <c r="H70">
        <f t="shared" si="26"/>
        <v>-0.173828125</v>
      </c>
      <c r="I70">
        <f t="shared" si="27"/>
        <v>-0.026601105703125</v>
      </c>
      <c r="J70">
        <f t="shared" si="28"/>
        <v>1.00070917464066</v>
      </c>
      <c r="K70">
        <f t="shared" si="29"/>
        <v>-13.22138601</v>
      </c>
      <c r="L70">
        <f t="shared" si="30"/>
        <v>42.70126204</v>
      </c>
      <c r="M70">
        <f t="shared" si="31"/>
        <v>5.62196379310013</v>
      </c>
      <c r="N70">
        <f t="shared" si="32"/>
        <v>-0.98872921389987</v>
      </c>
      <c r="O70">
        <f t="shared" si="33"/>
        <v>-0.149714867601532</v>
      </c>
      <c r="P70">
        <f t="shared" si="34"/>
        <v>-0.150279883777786</v>
      </c>
      <c r="Q70">
        <f t="shared" si="35"/>
        <v>0.11537108765625</v>
      </c>
      <c r="R70">
        <f t="shared" si="36"/>
        <v>1.01331048786699</v>
      </c>
      <c r="S70">
        <f t="shared" si="37"/>
        <v>-13.22138601</v>
      </c>
      <c r="T70">
        <f t="shared" si="38"/>
        <v>42.7236765815809</v>
      </c>
      <c r="U70">
        <f t="shared" si="39"/>
        <v>5.89279441362003</v>
      </c>
      <c r="V70">
        <f t="shared" si="40"/>
        <v>-0.71789859337997</v>
      </c>
      <c r="W70">
        <f t="shared" si="41"/>
        <v>0.687608006224455</v>
      </c>
      <c r="X70">
        <f t="shared" si="42"/>
        <v>0.758189507031481</v>
      </c>
    </row>
    <row r="71" customFormat="1" spans="1:24">
      <c r="A71" s="1"/>
      <c r="B71" s="1"/>
      <c r="C71" s="2">
        <v>248</v>
      </c>
      <c r="D71" s="2">
        <v>1197</v>
      </c>
      <c r="E71" s="4">
        <f t="shared" si="23"/>
        <v>-8.36583410296204</v>
      </c>
      <c r="F71" s="4">
        <f t="shared" si="43"/>
        <v>96.286112824587</v>
      </c>
      <c r="G71">
        <f t="shared" si="25"/>
        <v>0.7578125</v>
      </c>
      <c r="H71">
        <f t="shared" si="26"/>
        <v>-0.1689453125</v>
      </c>
      <c r="I71">
        <f t="shared" si="27"/>
        <v>-0.0258538836328125</v>
      </c>
      <c r="J71">
        <f t="shared" si="28"/>
        <v>1.00066989293714</v>
      </c>
      <c r="K71">
        <f t="shared" si="29"/>
        <v>-13.22138601</v>
      </c>
      <c r="L71">
        <f t="shared" si="30"/>
        <v>42.70126204</v>
      </c>
      <c r="M71">
        <f t="shared" si="31"/>
        <v>5.62133373953589</v>
      </c>
      <c r="N71">
        <f t="shared" si="32"/>
        <v>-0.989359267464108</v>
      </c>
      <c r="O71">
        <f t="shared" si="33"/>
        <v>-0.145493092217065</v>
      </c>
      <c r="P71">
        <f t="shared" si="34"/>
        <v>-0.146011349772314</v>
      </c>
      <c r="Q71">
        <f t="shared" si="35"/>
        <v>0.1159688653125</v>
      </c>
      <c r="R71">
        <f t="shared" si="36"/>
        <v>1.01344877772187</v>
      </c>
      <c r="S71">
        <f t="shared" si="37"/>
        <v>-13.22138601</v>
      </c>
      <c r="T71">
        <f t="shared" si="38"/>
        <v>42.7224302798829</v>
      </c>
      <c r="U71">
        <f t="shared" si="39"/>
        <v>5.89558445425889</v>
      </c>
      <c r="V71">
        <f t="shared" si="40"/>
        <v>-0.715108552741108</v>
      </c>
      <c r="W71">
        <f t="shared" si="41"/>
        <v>0.691057621342411</v>
      </c>
      <c r="X71">
        <f t="shared" si="42"/>
        <v>0.762951260056282</v>
      </c>
    </row>
    <row r="72" customFormat="1" spans="1:24">
      <c r="A72" s="1"/>
      <c r="B72" s="1"/>
      <c r="C72" s="2">
        <v>241</v>
      </c>
      <c r="D72" s="2">
        <v>1206</v>
      </c>
      <c r="E72" s="4">
        <f t="shared" si="23"/>
        <v>-8.8062325022945</v>
      </c>
      <c r="F72" s="4">
        <f t="shared" si="43"/>
        <v>95.6443267602532</v>
      </c>
      <c r="G72">
        <f t="shared" si="25"/>
        <v>0.7646484375</v>
      </c>
      <c r="H72">
        <f t="shared" si="26"/>
        <v>-0.177734375</v>
      </c>
      <c r="I72">
        <f t="shared" si="27"/>
        <v>-0.027198883359375</v>
      </c>
      <c r="J72">
        <f t="shared" si="28"/>
        <v>1.00074140578201</v>
      </c>
      <c r="K72">
        <f t="shared" si="29"/>
        <v>-13.22138601</v>
      </c>
      <c r="L72">
        <f t="shared" si="30"/>
        <v>42.70126204</v>
      </c>
      <c r="M72">
        <f t="shared" si="31"/>
        <v>5.62248127284527</v>
      </c>
      <c r="N72">
        <f t="shared" si="32"/>
        <v>-0.988211734154725</v>
      </c>
      <c r="O72">
        <f t="shared" si="33"/>
        <v>-0.153093332574971</v>
      </c>
      <c r="P72">
        <f t="shared" si="34"/>
        <v>-0.153697751861178</v>
      </c>
      <c r="Q72">
        <f t="shared" si="35"/>
        <v>0.117014976210938</v>
      </c>
      <c r="R72">
        <f t="shared" si="36"/>
        <v>1.01369250465765</v>
      </c>
      <c r="S72">
        <f t="shared" si="37"/>
        <v>-13.22138601</v>
      </c>
      <c r="T72">
        <f t="shared" si="38"/>
        <v>42.7246996084789</v>
      </c>
      <c r="U72">
        <f t="shared" si="39"/>
        <v>5.90410802042723</v>
      </c>
      <c r="V72">
        <f t="shared" si="40"/>
        <v>-0.706584986572768</v>
      </c>
      <c r="W72">
        <f t="shared" si="41"/>
        <v>0.699110380885776</v>
      </c>
      <c r="X72">
        <f t="shared" si="42"/>
        <v>0.774152539972323</v>
      </c>
    </row>
    <row r="73" customFormat="1" spans="1:24">
      <c r="A73" s="1"/>
      <c r="B73" s="1"/>
      <c r="C73" s="2">
        <v>255</v>
      </c>
      <c r="D73" s="2">
        <v>1216</v>
      </c>
      <c r="E73" s="4">
        <f t="shared" si="23"/>
        <v>-9.29651017567226</v>
      </c>
      <c r="F73" s="4">
        <f t="shared" si="43"/>
        <v>96.6669366698585</v>
      </c>
      <c r="G73">
        <f t="shared" si="25"/>
        <v>0.7509765625</v>
      </c>
      <c r="H73">
        <f t="shared" si="26"/>
        <v>-0.1875</v>
      </c>
      <c r="I73">
        <f t="shared" si="27"/>
        <v>-0.0286933275</v>
      </c>
      <c r="J73">
        <f t="shared" si="28"/>
        <v>1.00082511721858</v>
      </c>
      <c r="K73">
        <f t="shared" si="29"/>
        <v>-13.22138601</v>
      </c>
      <c r="L73">
        <f t="shared" si="30"/>
        <v>42.70126204</v>
      </c>
      <c r="M73">
        <f t="shared" si="31"/>
        <v>5.62382744930877</v>
      </c>
      <c r="N73">
        <f t="shared" si="32"/>
        <v>-0.986865557691227</v>
      </c>
      <c r="O73">
        <f t="shared" si="33"/>
        <v>-0.161543712482978</v>
      </c>
      <c r="P73">
        <f t="shared" si="34"/>
        <v>-0.162254711510637</v>
      </c>
      <c r="Q73">
        <f t="shared" si="35"/>
        <v>0.114922754414063</v>
      </c>
      <c r="R73">
        <f t="shared" si="36"/>
        <v>1.01320723948211</v>
      </c>
      <c r="S73">
        <f t="shared" si="37"/>
        <v>-13.22138601</v>
      </c>
      <c r="T73">
        <f t="shared" si="38"/>
        <v>42.7273584110428</v>
      </c>
      <c r="U73">
        <f t="shared" si="39"/>
        <v>5.89286982116648</v>
      </c>
      <c r="V73">
        <f t="shared" si="40"/>
        <v>-0.717823185833522</v>
      </c>
      <c r="W73">
        <f t="shared" si="41"/>
        <v>0.68623821015306</v>
      </c>
      <c r="X73">
        <f t="shared" si="42"/>
        <v>0.756304630086188</v>
      </c>
    </row>
    <row r="74" customFormat="1" spans="1:24">
      <c r="A74" s="1"/>
      <c r="B74" s="1"/>
      <c r="C74" s="2">
        <v>268</v>
      </c>
      <c r="D74" s="2">
        <v>1230</v>
      </c>
      <c r="E74" s="4">
        <f t="shared" si="23"/>
        <v>-9.98468407933126</v>
      </c>
      <c r="F74" s="4">
        <f t="shared" si="43"/>
        <v>97.545556632094</v>
      </c>
      <c r="G74">
        <f t="shared" si="25"/>
        <v>0.73828125</v>
      </c>
      <c r="H74">
        <f t="shared" si="26"/>
        <v>-0.201171875</v>
      </c>
      <c r="I74">
        <f t="shared" si="27"/>
        <v>-0.030785549296875</v>
      </c>
      <c r="J74">
        <f t="shared" si="28"/>
        <v>1.00094983382942</v>
      </c>
      <c r="K74">
        <f t="shared" si="29"/>
        <v>-13.22138601</v>
      </c>
      <c r="L74">
        <f t="shared" si="30"/>
        <v>42.70126204</v>
      </c>
      <c r="M74">
        <f t="shared" si="31"/>
        <v>5.62583887071611</v>
      </c>
      <c r="N74">
        <f t="shared" si="32"/>
        <v>-0.984854136283887</v>
      </c>
      <c r="O74">
        <f t="shared" si="33"/>
        <v>-0.173384919311108</v>
      </c>
      <c r="P74">
        <f t="shared" si="34"/>
        <v>-0.174265611955789</v>
      </c>
      <c r="Q74">
        <f t="shared" si="35"/>
        <v>0.11297997703125</v>
      </c>
      <c r="R74">
        <f t="shared" si="36"/>
        <v>1.01276447520998</v>
      </c>
      <c r="S74">
        <f t="shared" si="37"/>
        <v>-13.22138601</v>
      </c>
      <c r="T74">
        <f t="shared" si="38"/>
        <v>42.7313243702445</v>
      </c>
      <c r="U74">
        <f t="shared" si="39"/>
        <v>5.88405356704013</v>
      </c>
      <c r="V74">
        <f t="shared" si="40"/>
        <v>-0.726639439959866</v>
      </c>
      <c r="W74">
        <f t="shared" si="41"/>
        <v>0.675003775159826</v>
      </c>
      <c r="X74">
        <f t="shared" si="42"/>
        <v>0.74096981887143</v>
      </c>
    </row>
    <row r="75" customFormat="1" spans="1:24">
      <c r="A75" s="1"/>
      <c r="B75" s="1"/>
      <c r="C75" s="2">
        <v>283</v>
      </c>
      <c r="D75" s="2">
        <v>1242</v>
      </c>
      <c r="E75" s="4">
        <f t="shared" si="23"/>
        <v>-10.5763207108268</v>
      </c>
      <c r="F75" s="4">
        <f t="shared" si="43"/>
        <v>98.5719961006453</v>
      </c>
      <c r="G75">
        <f t="shared" si="25"/>
        <v>0.7236328125</v>
      </c>
      <c r="H75">
        <f t="shared" si="26"/>
        <v>-0.212890625</v>
      </c>
      <c r="I75">
        <f t="shared" si="27"/>
        <v>-0.032578882265625</v>
      </c>
      <c r="J75">
        <f t="shared" si="28"/>
        <v>1.00106371719552</v>
      </c>
      <c r="K75">
        <f t="shared" si="29"/>
        <v>-13.22138601</v>
      </c>
      <c r="L75">
        <f t="shared" si="30"/>
        <v>42.70126204</v>
      </c>
      <c r="M75">
        <f t="shared" si="31"/>
        <v>5.62768171809484</v>
      </c>
      <c r="N75">
        <f t="shared" si="32"/>
        <v>-0.983011288905159</v>
      </c>
      <c r="O75">
        <f t="shared" si="33"/>
        <v>-0.183545105859618</v>
      </c>
      <c r="P75">
        <f t="shared" si="34"/>
        <v>-0.184591619150795</v>
      </c>
      <c r="Q75">
        <f t="shared" si="35"/>
        <v>0.110738310820313</v>
      </c>
      <c r="R75">
        <f t="shared" si="36"/>
        <v>1.01226297348334</v>
      </c>
      <c r="S75">
        <f t="shared" si="37"/>
        <v>-13.22138601</v>
      </c>
      <c r="T75">
        <f t="shared" si="38"/>
        <v>42.734950845885</v>
      </c>
      <c r="U75">
        <f t="shared" si="39"/>
        <v>5.8736431774909</v>
      </c>
      <c r="V75">
        <f t="shared" si="40"/>
        <v>-0.737049829509099</v>
      </c>
      <c r="W75">
        <f t="shared" si="41"/>
        <v>0.661678410791565</v>
      </c>
      <c r="X75">
        <f t="shared" si="42"/>
        <v>0.723055070572789</v>
      </c>
    </row>
    <row r="76" customFormat="1" spans="1:24">
      <c r="A76" s="1"/>
      <c r="B76" s="1"/>
      <c r="C76" s="2">
        <v>293</v>
      </c>
      <c r="D76" s="2">
        <v>1241</v>
      </c>
      <c r="E76" s="4">
        <f t="shared" si="23"/>
        <v>-10.5269522638052</v>
      </c>
      <c r="F76" s="4">
        <f t="shared" si="43"/>
        <v>99.331624101658</v>
      </c>
      <c r="G76">
        <f t="shared" si="25"/>
        <v>0.7138671875</v>
      </c>
      <c r="H76">
        <f t="shared" si="26"/>
        <v>-0.2119140625</v>
      </c>
      <c r="I76">
        <f t="shared" si="27"/>
        <v>-0.0324294378515625</v>
      </c>
      <c r="J76">
        <f t="shared" si="28"/>
        <v>1.00105398070491</v>
      </c>
      <c r="K76">
        <f t="shared" si="29"/>
        <v>-13.22138601</v>
      </c>
      <c r="L76">
        <f t="shared" si="30"/>
        <v>42.70126204</v>
      </c>
      <c r="M76">
        <f t="shared" si="31"/>
        <v>5.62752393285898</v>
      </c>
      <c r="N76">
        <f t="shared" si="32"/>
        <v>-0.983169074141025</v>
      </c>
      <c r="O76">
        <f t="shared" si="33"/>
        <v>-0.182698034069006</v>
      </c>
      <c r="P76">
        <f t="shared" si="34"/>
        <v>-0.183729977203672</v>
      </c>
      <c r="Q76">
        <f t="shared" si="35"/>
        <v>0.109243866679688</v>
      </c>
      <c r="R76">
        <f t="shared" si="36"/>
        <v>1.01193422240713</v>
      </c>
      <c r="S76">
        <f t="shared" si="37"/>
        <v>-13.22138601</v>
      </c>
      <c r="T76">
        <f t="shared" si="38"/>
        <v>42.7346406116527</v>
      </c>
      <c r="U76">
        <f t="shared" si="39"/>
        <v>5.86496502272944</v>
      </c>
      <c r="V76">
        <f t="shared" si="40"/>
        <v>-0.745727984270559</v>
      </c>
      <c r="W76">
        <f t="shared" si="41"/>
        <v>0.651679856296636</v>
      </c>
      <c r="X76">
        <f t="shared" si="42"/>
        <v>0.709797060864775</v>
      </c>
    </row>
    <row r="77" customFormat="1" spans="1:24">
      <c r="A77" s="1"/>
      <c r="B77" s="1"/>
      <c r="C77" s="2">
        <v>293</v>
      </c>
      <c r="D77" s="2">
        <v>1232</v>
      </c>
      <c r="E77" s="4">
        <f t="shared" si="23"/>
        <v>-10.0831731807793</v>
      </c>
      <c r="F77" s="4">
        <f t="shared" si="43"/>
        <v>99.4177293536281</v>
      </c>
      <c r="G77">
        <f t="shared" si="25"/>
        <v>0.7138671875</v>
      </c>
      <c r="H77">
        <f t="shared" si="26"/>
        <v>-0.203125</v>
      </c>
      <c r="I77">
        <f t="shared" si="27"/>
        <v>-0.031084438125</v>
      </c>
      <c r="J77">
        <f t="shared" si="28"/>
        <v>1.00096836673569</v>
      </c>
      <c r="K77">
        <f t="shared" si="29"/>
        <v>-13.22138601</v>
      </c>
      <c r="L77">
        <f t="shared" si="30"/>
        <v>42.70126204</v>
      </c>
      <c r="M77">
        <f t="shared" si="31"/>
        <v>5.62613836718695</v>
      </c>
      <c r="N77">
        <f t="shared" si="32"/>
        <v>-0.984554639813049</v>
      </c>
      <c r="O77">
        <f t="shared" si="33"/>
        <v>-0.175077586294184</v>
      </c>
      <c r="P77">
        <f t="shared" si="34"/>
        <v>-0.175984571053389</v>
      </c>
      <c r="Q77">
        <f t="shared" si="35"/>
        <v>0.109243866679688</v>
      </c>
      <c r="R77">
        <f t="shared" si="36"/>
        <v>1.01193422240713</v>
      </c>
      <c r="S77">
        <f t="shared" si="37"/>
        <v>-13.22138601</v>
      </c>
      <c r="T77">
        <f t="shared" si="38"/>
        <v>42.7319142012226</v>
      </c>
      <c r="U77">
        <f t="shared" si="39"/>
        <v>5.86295069184533</v>
      </c>
      <c r="V77">
        <f t="shared" si="40"/>
        <v>-0.74774231515467</v>
      </c>
      <c r="W77">
        <f t="shared" si="41"/>
        <v>0.650539240544862</v>
      </c>
      <c r="X77">
        <f t="shared" si="42"/>
        <v>0.708294240714638</v>
      </c>
    </row>
    <row r="78" customFormat="1" spans="1:24">
      <c r="A78" s="1"/>
      <c r="B78" s="1"/>
      <c r="C78" s="2">
        <v>288</v>
      </c>
      <c r="D78" s="2">
        <v>1225</v>
      </c>
      <c r="E78" s="4">
        <f t="shared" si="23"/>
        <v>-9.73865986303834</v>
      </c>
      <c r="F78" s="4">
        <f t="shared" si="43"/>
        <v>99.1108349572566</v>
      </c>
      <c r="G78">
        <f t="shared" si="25"/>
        <v>0.71875</v>
      </c>
      <c r="H78">
        <f t="shared" si="26"/>
        <v>-0.1962890625</v>
      </c>
      <c r="I78">
        <f t="shared" si="27"/>
        <v>-0.0300383272265625</v>
      </c>
      <c r="J78">
        <f t="shared" si="28"/>
        <v>1.00090428495952</v>
      </c>
      <c r="K78">
        <f t="shared" si="29"/>
        <v>-13.22138601</v>
      </c>
      <c r="L78">
        <f t="shared" si="30"/>
        <v>42.70126204</v>
      </c>
      <c r="M78">
        <f t="shared" si="31"/>
        <v>5.62510344913021</v>
      </c>
      <c r="N78">
        <f t="shared" si="32"/>
        <v>-0.985589557869786</v>
      </c>
      <c r="O78">
        <f t="shared" si="33"/>
        <v>-0.16915443658988</v>
      </c>
      <c r="P78">
        <f t="shared" si="34"/>
        <v>-0.169971679341839</v>
      </c>
      <c r="Q78">
        <f t="shared" si="35"/>
        <v>0.10999108875</v>
      </c>
      <c r="R78">
        <f t="shared" si="36"/>
        <v>1.01209803960441</v>
      </c>
      <c r="S78">
        <f t="shared" si="37"/>
        <v>-13.22138601</v>
      </c>
      <c r="T78">
        <f t="shared" si="38"/>
        <v>42.729875263418</v>
      </c>
      <c r="U78">
        <f t="shared" si="39"/>
        <v>5.86560970285579</v>
      </c>
      <c r="V78">
        <f t="shared" si="40"/>
        <v>-0.74508330414421</v>
      </c>
      <c r="W78">
        <f t="shared" si="41"/>
        <v>0.654597865828023</v>
      </c>
      <c r="X78">
        <f t="shared" si="42"/>
        <v>0.713650558387239</v>
      </c>
    </row>
    <row r="79" customFormat="1" spans="1:24">
      <c r="A79" s="1"/>
      <c r="B79" s="1"/>
      <c r="C79" s="2"/>
      <c r="D79" s="2"/>
      <c r="E79" s="4" t="e">
        <f t="shared" si="23"/>
        <v>#NUM!</v>
      </c>
      <c r="F79" s="4" t="e">
        <f t="shared" si="43"/>
        <v>#NUM!</v>
      </c>
      <c r="G79">
        <f t="shared" si="25"/>
        <v>1</v>
      </c>
      <c r="H79">
        <f t="shared" si="26"/>
        <v>1</v>
      </c>
      <c r="I79">
        <f t="shared" si="27"/>
        <v>0.15303108</v>
      </c>
      <c r="J79">
        <f t="shared" si="28"/>
        <v>1.02347000088402</v>
      </c>
      <c r="K79">
        <f t="shared" si="29"/>
        <v>-13.22138601</v>
      </c>
      <c r="L79">
        <f t="shared" si="30"/>
        <v>42.70126204</v>
      </c>
      <c r="M79" t="e">
        <f t="shared" si="31"/>
        <v>#NUM!</v>
      </c>
      <c r="N79" t="e">
        <f t="shared" si="32"/>
        <v>#NUM!</v>
      </c>
      <c r="O79" t="e">
        <f t="shared" si="33"/>
        <v>#NUM!</v>
      </c>
      <c r="P79" t="e">
        <f t="shared" si="34"/>
        <v>#NUM!</v>
      </c>
      <c r="Q79">
        <f t="shared" si="35"/>
        <v>0.15303108</v>
      </c>
      <c r="R79">
        <f t="shared" si="36"/>
        <v>1.02341851144597</v>
      </c>
      <c r="S79">
        <f t="shared" si="37"/>
        <v>-13.22138601</v>
      </c>
      <c r="T79" t="e">
        <f t="shared" si="38"/>
        <v>#NUM!</v>
      </c>
      <c r="U79" t="e">
        <f t="shared" si="39"/>
        <v>#NUM!</v>
      </c>
      <c r="V79" t="e">
        <f t="shared" si="40"/>
        <v>#NUM!</v>
      </c>
      <c r="W79" t="e">
        <f t="shared" si="41"/>
        <v>#NUM!</v>
      </c>
      <c r="X79" t="e">
        <f t="shared" si="42"/>
        <v>#NUM!</v>
      </c>
    </row>
    <row r="80" customFormat="1" spans="1:24">
      <c r="A80" s="1"/>
      <c r="B80" s="1"/>
      <c r="C80" s="2">
        <v>1536</v>
      </c>
      <c r="D80" s="2">
        <v>1241</v>
      </c>
      <c r="E80" s="4">
        <f t="shared" si="23"/>
        <v>-10.5269522638052</v>
      </c>
      <c r="F80" s="4">
        <f t="shared" si="43"/>
        <v>166.487071577673</v>
      </c>
      <c r="G80">
        <f t="shared" si="25"/>
        <v>-0.5</v>
      </c>
      <c r="H80">
        <f t="shared" si="26"/>
        <v>-0.2119140625</v>
      </c>
      <c r="I80">
        <f t="shared" si="27"/>
        <v>-0.0324294378515625</v>
      </c>
      <c r="J80">
        <f t="shared" si="28"/>
        <v>1.00105398070491</v>
      </c>
      <c r="K80">
        <f t="shared" si="29"/>
        <v>-13.22138601</v>
      </c>
      <c r="L80">
        <f t="shared" si="30"/>
        <v>42.70126204</v>
      </c>
      <c r="M80">
        <f t="shared" si="31"/>
        <v>5.62752393285898</v>
      </c>
      <c r="N80">
        <f t="shared" si="32"/>
        <v>-0.983169074141025</v>
      </c>
      <c r="O80">
        <f t="shared" si="33"/>
        <v>-0.182698034069006</v>
      </c>
      <c r="P80">
        <f t="shared" si="34"/>
        <v>-0.183729977203672</v>
      </c>
      <c r="Q80">
        <f t="shared" si="35"/>
        <v>-0.07651554</v>
      </c>
      <c r="R80">
        <f t="shared" si="36"/>
        <v>1.00585462786149</v>
      </c>
      <c r="S80">
        <f t="shared" si="37"/>
        <v>-13.22138601</v>
      </c>
      <c r="T80">
        <f t="shared" si="38"/>
        <v>42.7346406116527</v>
      </c>
      <c r="U80">
        <f t="shared" si="39"/>
        <v>5.73072225459974</v>
      </c>
      <c r="V80">
        <f t="shared" si="40"/>
        <v>-0.87997075240026</v>
      </c>
      <c r="W80">
        <f t="shared" si="41"/>
        <v>-0.445995865597975</v>
      </c>
      <c r="X80">
        <f t="shared" si="42"/>
        <v>-0.462286608241799</v>
      </c>
    </row>
    <row r="81" customFormat="1" spans="1:24">
      <c r="A81" s="1"/>
      <c r="B81" s="1"/>
      <c r="C81" s="2">
        <v>1561</v>
      </c>
      <c r="D81" s="2">
        <v>1225</v>
      </c>
      <c r="E81" s="4">
        <f t="shared" si="23"/>
        <v>-9.73865986303834</v>
      </c>
      <c r="F81" s="4">
        <f t="shared" si="43"/>
        <v>167.860899086263</v>
      </c>
      <c r="G81">
        <f t="shared" si="25"/>
        <v>-0.5244140625</v>
      </c>
      <c r="H81">
        <f t="shared" si="26"/>
        <v>-0.1962890625</v>
      </c>
      <c r="I81">
        <f t="shared" si="27"/>
        <v>-0.0300383272265625</v>
      </c>
      <c r="J81">
        <f t="shared" si="28"/>
        <v>1.00090428495952</v>
      </c>
      <c r="K81">
        <f t="shared" si="29"/>
        <v>-13.22138601</v>
      </c>
      <c r="L81">
        <f t="shared" si="30"/>
        <v>42.70126204</v>
      </c>
      <c r="M81">
        <f t="shared" si="31"/>
        <v>5.62510344913021</v>
      </c>
      <c r="N81">
        <f t="shared" si="32"/>
        <v>-0.985589557869786</v>
      </c>
      <c r="O81">
        <f t="shared" si="33"/>
        <v>-0.16915443658988</v>
      </c>
      <c r="P81">
        <f t="shared" si="34"/>
        <v>-0.169971679341839</v>
      </c>
      <c r="Q81">
        <f t="shared" si="35"/>
        <v>-0.0802516503515625</v>
      </c>
      <c r="R81">
        <f t="shared" si="36"/>
        <v>1.00644032738415</v>
      </c>
      <c r="S81">
        <f t="shared" si="37"/>
        <v>-13.22138601</v>
      </c>
      <c r="T81">
        <f t="shared" si="38"/>
        <v>42.729875263418</v>
      </c>
      <c r="U81">
        <f t="shared" si="39"/>
        <v>5.73934830110176</v>
      </c>
      <c r="V81">
        <f t="shared" si="40"/>
        <v>-0.871344705898243</v>
      </c>
      <c r="W81">
        <f t="shared" si="41"/>
        <v>-0.46732658860591</v>
      </c>
      <c r="X81">
        <f t="shared" si="42"/>
        <v>-0.486264421621174</v>
      </c>
    </row>
    <row r="82" customFormat="1" spans="1:24">
      <c r="A82" s="1"/>
      <c r="B82" s="1"/>
      <c r="C82" s="2">
        <v>1594</v>
      </c>
      <c r="D82" s="2">
        <v>1198</v>
      </c>
      <c r="E82" s="4">
        <f t="shared" si="23"/>
        <v>-8.41472885822831</v>
      </c>
      <c r="F82" s="4">
        <f t="shared" si="43"/>
        <v>169.685948738109</v>
      </c>
      <c r="G82">
        <f t="shared" si="25"/>
        <v>-0.556640625</v>
      </c>
      <c r="H82">
        <f t="shared" si="26"/>
        <v>-0.169921875</v>
      </c>
      <c r="I82">
        <f t="shared" si="27"/>
        <v>-0.026003328046875</v>
      </c>
      <c r="J82">
        <f t="shared" si="28"/>
        <v>1.0006776597469</v>
      </c>
      <c r="K82">
        <f t="shared" si="29"/>
        <v>-13.22138601</v>
      </c>
      <c r="L82">
        <f t="shared" si="30"/>
        <v>42.70126204</v>
      </c>
      <c r="M82">
        <f t="shared" si="31"/>
        <v>5.62145825986017</v>
      </c>
      <c r="N82">
        <f t="shared" si="32"/>
        <v>-0.989234747139827</v>
      </c>
      <c r="O82">
        <f t="shared" si="33"/>
        <v>-0.146337333073971</v>
      </c>
      <c r="P82">
        <f t="shared" si="34"/>
        <v>-0.146864724238667</v>
      </c>
      <c r="Q82">
        <f t="shared" si="35"/>
        <v>-0.085183316015625</v>
      </c>
      <c r="R82">
        <f t="shared" si="36"/>
        <v>1.00725619732742</v>
      </c>
      <c r="S82">
        <f t="shared" si="37"/>
        <v>-13.22138601</v>
      </c>
      <c r="T82">
        <f t="shared" si="38"/>
        <v>42.7226766550512</v>
      </c>
      <c r="U82">
        <f t="shared" si="39"/>
        <v>5.75129235767586</v>
      </c>
      <c r="V82">
        <f t="shared" si="40"/>
        <v>-0.859400649324138</v>
      </c>
      <c r="W82">
        <f t="shared" si="41"/>
        <v>-0.495245629661685</v>
      </c>
      <c r="X82">
        <f t="shared" si="42"/>
        <v>-0.518117547058254</v>
      </c>
    </row>
    <row r="83" customFormat="1" spans="1:24">
      <c r="A83" s="1"/>
      <c r="B83" s="1"/>
      <c r="C83" s="2">
        <v>1614</v>
      </c>
      <c r="D83" s="2">
        <v>1194</v>
      </c>
      <c r="E83" s="4">
        <f t="shared" si="23"/>
        <v>-8.21920601322898</v>
      </c>
      <c r="F83" s="4">
        <f t="shared" si="43"/>
        <v>170.880964781983</v>
      </c>
      <c r="G83">
        <f t="shared" si="25"/>
        <v>-0.576171875</v>
      </c>
      <c r="H83">
        <f t="shared" si="26"/>
        <v>-0.166015625</v>
      </c>
      <c r="I83">
        <f t="shared" si="27"/>
        <v>-0.025405550390625</v>
      </c>
      <c r="J83">
        <f t="shared" si="28"/>
        <v>1.00064686110072</v>
      </c>
      <c r="K83">
        <f t="shared" si="29"/>
        <v>-13.22138601</v>
      </c>
      <c r="L83">
        <f t="shared" si="30"/>
        <v>42.70126204</v>
      </c>
      <c r="M83">
        <f t="shared" si="31"/>
        <v>5.62096464208261</v>
      </c>
      <c r="N83">
        <f t="shared" si="32"/>
        <v>-0.989728364917389</v>
      </c>
      <c r="O83">
        <f t="shared" si="33"/>
        <v>-0.142960706762213</v>
      </c>
      <c r="P83">
        <f t="shared" si="34"/>
        <v>-0.143452206830562</v>
      </c>
      <c r="Q83">
        <f t="shared" si="35"/>
        <v>-0.088172204296875</v>
      </c>
      <c r="R83">
        <f t="shared" si="36"/>
        <v>1.00777433761057</v>
      </c>
      <c r="S83">
        <f t="shared" si="37"/>
        <v>-13.22138601</v>
      </c>
      <c r="T83">
        <f t="shared" si="38"/>
        <v>42.721699803678</v>
      </c>
      <c r="U83">
        <f t="shared" si="39"/>
        <v>5.76127301781769</v>
      </c>
      <c r="V83">
        <f t="shared" si="40"/>
        <v>-0.849419989182306</v>
      </c>
      <c r="W83">
        <f t="shared" si="41"/>
        <v>-0.513256151197105</v>
      </c>
      <c r="X83">
        <f t="shared" si="42"/>
        <v>-0.538974511638018</v>
      </c>
    </row>
    <row r="84" customFormat="1" spans="1:24">
      <c r="A84" s="1"/>
      <c r="B84" s="1"/>
      <c r="C84" s="2">
        <v>1597</v>
      </c>
      <c r="D84" s="2">
        <v>1205</v>
      </c>
      <c r="E84" s="4">
        <f t="shared" si="23"/>
        <v>-8.75726039040605</v>
      </c>
      <c r="F84" s="4">
        <f t="shared" si="43"/>
        <v>169.902792091938</v>
      </c>
      <c r="G84">
        <f t="shared" si="25"/>
        <v>-0.5595703125</v>
      </c>
      <c r="H84">
        <f t="shared" si="26"/>
        <v>-0.1767578125</v>
      </c>
      <c r="I84">
        <f t="shared" si="27"/>
        <v>-0.0270494389453125</v>
      </c>
      <c r="J84">
        <f t="shared" si="28"/>
        <v>1.00073328084847</v>
      </c>
      <c r="K84">
        <f t="shared" si="29"/>
        <v>-13.22138601</v>
      </c>
      <c r="L84">
        <f t="shared" si="30"/>
        <v>42.70126204</v>
      </c>
      <c r="M84">
        <f t="shared" si="31"/>
        <v>5.62235078119572</v>
      </c>
      <c r="N84">
        <f t="shared" si="32"/>
        <v>-0.988342225804278</v>
      </c>
      <c r="O84">
        <f t="shared" si="33"/>
        <v>-0.152248627882966</v>
      </c>
      <c r="P84">
        <f t="shared" si="34"/>
        <v>-0.15284302726707</v>
      </c>
      <c r="Q84">
        <f t="shared" si="35"/>
        <v>-0.0856316492578125</v>
      </c>
      <c r="R84">
        <f t="shared" si="36"/>
        <v>1.00733277935461</v>
      </c>
      <c r="S84">
        <f t="shared" si="37"/>
        <v>-13.22138601</v>
      </c>
      <c r="T84">
        <f t="shared" si="38"/>
        <v>42.7244416846923</v>
      </c>
      <c r="U84">
        <f t="shared" si="39"/>
        <v>5.75392635434668</v>
      </c>
      <c r="V84">
        <f t="shared" si="40"/>
        <v>-0.856766652653317</v>
      </c>
      <c r="W84">
        <f t="shared" si="41"/>
        <v>-0.498529984078463</v>
      </c>
      <c r="X84">
        <f t="shared" si="42"/>
        <v>-0.521902177543634</v>
      </c>
    </row>
    <row r="85" customFormat="1" spans="1:24">
      <c r="A85" s="1"/>
      <c r="B85" s="1"/>
      <c r="C85" s="2">
        <v>1594</v>
      </c>
      <c r="D85" s="2">
        <v>1209</v>
      </c>
      <c r="E85" s="4">
        <f t="shared" si="23"/>
        <v>-8.95320870887049</v>
      </c>
      <c r="F85" s="4">
        <f t="shared" si="43"/>
        <v>169.742650438925</v>
      </c>
      <c r="G85">
        <f t="shared" si="25"/>
        <v>-0.556640625</v>
      </c>
      <c r="H85">
        <f t="shared" si="26"/>
        <v>-0.1806640625</v>
      </c>
      <c r="I85">
        <f t="shared" si="27"/>
        <v>-0.0276472166015625</v>
      </c>
      <c r="J85">
        <f t="shared" si="28"/>
        <v>1.00076604917551</v>
      </c>
      <c r="K85">
        <f t="shared" si="29"/>
        <v>-13.22138601</v>
      </c>
      <c r="L85">
        <f t="shared" si="30"/>
        <v>42.70126204</v>
      </c>
      <c r="M85">
        <f t="shared" si="31"/>
        <v>5.62287724168458</v>
      </c>
      <c r="N85">
        <f t="shared" si="32"/>
        <v>-0.987815765315418</v>
      </c>
      <c r="O85">
        <f t="shared" si="33"/>
        <v>-0.155627805337979</v>
      </c>
      <c r="P85">
        <f t="shared" si="34"/>
        <v>-0.15626297058802</v>
      </c>
      <c r="Q85">
        <f t="shared" si="35"/>
        <v>-0.085183316015625</v>
      </c>
      <c r="R85">
        <f t="shared" si="36"/>
        <v>1.00725619732742</v>
      </c>
      <c r="S85">
        <f t="shared" si="37"/>
        <v>-13.22138601</v>
      </c>
      <c r="T85">
        <f t="shared" si="38"/>
        <v>42.7254820537943</v>
      </c>
      <c r="U85">
        <f t="shared" si="39"/>
        <v>5.75300966152727</v>
      </c>
      <c r="V85">
        <f t="shared" si="40"/>
        <v>-0.857683345472731</v>
      </c>
      <c r="W85">
        <f t="shared" si="41"/>
        <v>-0.496105132224207</v>
      </c>
      <c r="X85">
        <f t="shared" si="42"/>
        <v>-0.519107178428983</v>
      </c>
    </row>
    <row r="86" customFormat="1" spans="1:24">
      <c r="A86" s="1"/>
      <c r="B86" s="1"/>
      <c r="C86" s="2">
        <v>1600</v>
      </c>
      <c r="D86" s="2">
        <v>1211</v>
      </c>
      <c r="E86" s="4">
        <f t="shared" si="23"/>
        <v>-9.05124334075267</v>
      </c>
      <c r="F86" s="4">
        <f t="shared" ref="F86:F117" si="44">IF(140-X86*180/PI()&gt;180,140-X86*180/PI()-360,140-X86*180/PI())</f>
        <v>170.116767497506</v>
      </c>
      <c r="G86">
        <f t="shared" si="25"/>
        <v>-0.5625</v>
      </c>
      <c r="H86">
        <f t="shared" si="26"/>
        <v>-0.1826171875</v>
      </c>
      <c r="I86">
        <f t="shared" si="27"/>
        <v>-0.0279461054296875</v>
      </c>
      <c r="J86">
        <f t="shared" si="28"/>
        <v>1.00078270193187</v>
      </c>
      <c r="K86">
        <f t="shared" si="29"/>
        <v>-13.22138601</v>
      </c>
      <c r="L86">
        <f t="shared" si="30"/>
        <v>42.70126204</v>
      </c>
      <c r="M86">
        <f t="shared" si="31"/>
        <v>5.6231449709194</v>
      </c>
      <c r="N86">
        <f t="shared" si="32"/>
        <v>-0.987548036080598</v>
      </c>
      <c r="O86">
        <f t="shared" si="33"/>
        <v>-0.157317756255781</v>
      </c>
      <c r="P86">
        <f t="shared" si="34"/>
        <v>-0.157973997695345</v>
      </c>
      <c r="Q86">
        <f t="shared" si="35"/>
        <v>-0.0860799825</v>
      </c>
      <c r="R86">
        <f t="shared" si="36"/>
        <v>1.0074097633872</v>
      </c>
      <c r="S86">
        <f t="shared" si="37"/>
        <v>-13.22138601</v>
      </c>
      <c r="T86">
        <f t="shared" si="38"/>
        <v>42.7260109164334</v>
      </c>
      <c r="U86">
        <f t="shared" si="39"/>
        <v>5.75645939589476</v>
      </c>
      <c r="V86">
        <f t="shared" si="40"/>
        <v>-0.854233611105238</v>
      </c>
      <c r="W86">
        <f t="shared" si="41"/>
        <v>-0.501763900546923</v>
      </c>
      <c r="X86">
        <f t="shared" si="42"/>
        <v>-0.525636752889088</v>
      </c>
    </row>
    <row r="87" customFormat="1" spans="1:24">
      <c r="A87" s="1"/>
      <c r="B87" s="1"/>
      <c r="C87" s="2">
        <v>1609</v>
      </c>
      <c r="D87" s="2">
        <v>1199</v>
      </c>
      <c r="E87" s="4">
        <f t="shared" si="23"/>
        <v>-8.46363307481832</v>
      </c>
      <c r="F87" s="4">
        <f t="shared" si="44"/>
        <v>170.600796014074</v>
      </c>
      <c r="G87">
        <f t="shared" si="25"/>
        <v>-0.5712890625</v>
      </c>
      <c r="H87">
        <f t="shared" si="26"/>
        <v>-0.1708984375</v>
      </c>
      <c r="I87">
        <f t="shared" si="27"/>
        <v>-0.0261527724609375</v>
      </c>
      <c r="J87">
        <f t="shared" si="28"/>
        <v>1.00068547132213</v>
      </c>
      <c r="K87">
        <f t="shared" si="29"/>
        <v>-13.22138601</v>
      </c>
      <c r="L87">
        <f t="shared" si="30"/>
        <v>42.70126204</v>
      </c>
      <c r="M87">
        <f t="shared" si="31"/>
        <v>5.62158352489689</v>
      </c>
      <c r="N87">
        <f t="shared" si="32"/>
        <v>-0.98910948210311</v>
      </c>
      <c r="O87">
        <f t="shared" si="33"/>
        <v>-0.147181630693905</v>
      </c>
      <c r="P87">
        <f t="shared" si="34"/>
        <v>-0.147718263836271</v>
      </c>
      <c r="Q87">
        <f t="shared" si="35"/>
        <v>-0.0874249822265625</v>
      </c>
      <c r="R87">
        <f t="shared" si="36"/>
        <v>1.00764312751731</v>
      </c>
      <c r="S87">
        <f t="shared" si="37"/>
        <v>-13.22138601</v>
      </c>
      <c r="T87">
        <f t="shared" si="38"/>
        <v>42.7229244724137</v>
      </c>
      <c r="U87">
        <f t="shared" si="39"/>
        <v>5.75933190165481</v>
      </c>
      <c r="V87">
        <f t="shared" si="40"/>
        <v>-0.851361105345187</v>
      </c>
      <c r="W87">
        <f t="shared" si="41"/>
        <v>-0.509053374047457</v>
      </c>
      <c r="X87">
        <f t="shared" si="42"/>
        <v>-0.534084644176756</v>
      </c>
    </row>
    <row r="88" customFormat="1" spans="1:24">
      <c r="A88" s="1"/>
      <c r="B88" s="1"/>
      <c r="C88" s="2">
        <v>1603</v>
      </c>
      <c r="D88" s="2">
        <v>1189</v>
      </c>
      <c r="E88" s="4">
        <f t="shared" si="23"/>
        <v>-7.97500957911627</v>
      </c>
      <c r="F88" s="4">
        <f t="shared" si="44"/>
        <v>170.185628431202</v>
      </c>
      <c r="G88">
        <f t="shared" si="25"/>
        <v>-0.5654296875</v>
      </c>
      <c r="H88">
        <f t="shared" si="26"/>
        <v>-0.1611328125</v>
      </c>
      <c r="I88">
        <f t="shared" si="27"/>
        <v>-0.0246583283203125</v>
      </c>
      <c r="J88">
        <f t="shared" si="28"/>
        <v>1.00060937001616</v>
      </c>
      <c r="K88">
        <f t="shared" si="29"/>
        <v>-13.22138601</v>
      </c>
      <c r="L88">
        <f t="shared" si="30"/>
        <v>42.70126204</v>
      </c>
      <c r="M88">
        <f t="shared" si="31"/>
        <v>5.62036433000156</v>
      </c>
      <c r="N88">
        <f t="shared" si="32"/>
        <v>-0.990328676998439</v>
      </c>
      <c r="O88">
        <f t="shared" si="33"/>
        <v>-0.138741167338756</v>
      </c>
      <c r="P88">
        <f t="shared" si="34"/>
        <v>-0.139190175033666</v>
      </c>
      <c r="Q88">
        <f t="shared" si="35"/>
        <v>-0.0865283157421875</v>
      </c>
      <c r="R88">
        <f t="shared" si="36"/>
        <v>1.00748714942518</v>
      </c>
      <c r="S88">
        <f t="shared" si="37"/>
        <v>-13.22138601</v>
      </c>
      <c r="T88">
        <f t="shared" si="38"/>
        <v>42.7205111515145</v>
      </c>
      <c r="U88">
        <f t="shared" si="39"/>
        <v>5.75465195991177</v>
      </c>
      <c r="V88">
        <f t="shared" si="40"/>
        <v>-0.856041047088233</v>
      </c>
      <c r="W88">
        <f t="shared" si="41"/>
        <v>-0.502803143727742</v>
      </c>
      <c r="X88">
        <f t="shared" si="42"/>
        <v>-0.526838602908085</v>
      </c>
    </row>
    <row r="89" spans="3:24">
      <c r="C89" s="2">
        <v>1595</v>
      </c>
      <c r="D89" s="2">
        <v>1192</v>
      </c>
      <c r="E89" s="4">
        <f t="shared" si="23"/>
        <v>-8.1215001764629</v>
      </c>
      <c r="F89" s="4">
        <f t="shared" si="44"/>
        <v>169.716797847199</v>
      </c>
      <c r="G89">
        <f t="shared" si="25"/>
        <v>-0.5576171875</v>
      </c>
      <c r="H89">
        <f t="shared" si="26"/>
        <v>-0.1640625</v>
      </c>
      <c r="I89">
        <f t="shared" si="27"/>
        <v>-0.0251066615625</v>
      </c>
      <c r="J89">
        <f t="shared" si="28"/>
        <v>1.00063173037047</v>
      </c>
      <c r="K89">
        <f t="shared" si="29"/>
        <v>-13.22138601</v>
      </c>
      <c r="L89">
        <f t="shared" si="30"/>
        <v>42.70126204</v>
      </c>
      <c r="M89">
        <f t="shared" si="31"/>
        <v>5.6207222920136</v>
      </c>
      <c r="N89">
        <f t="shared" si="32"/>
        <v>-0.989970714986405</v>
      </c>
      <c r="O89">
        <f t="shared" si="33"/>
        <v>-0.14127272726647</v>
      </c>
      <c r="P89">
        <f t="shared" si="34"/>
        <v>-0.141746918280578</v>
      </c>
      <c r="Q89">
        <f t="shared" si="35"/>
        <v>-0.0853327604296875</v>
      </c>
      <c r="R89">
        <f t="shared" si="36"/>
        <v>1.00728168000255</v>
      </c>
      <c r="S89">
        <f t="shared" si="37"/>
        <v>-13.22138601</v>
      </c>
      <c r="T89">
        <f t="shared" si="38"/>
        <v>42.7212200234693</v>
      </c>
      <c r="U89">
        <f t="shared" si="39"/>
        <v>5.75091708317097</v>
      </c>
      <c r="V89">
        <f t="shared" si="40"/>
        <v>-0.859775923829029</v>
      </c>
      <c r="W89">
        <f t="shared" si="41"/>
        <v>-0.495713310560686</v>
      </c>
      <c r="X89">
        <f t="shared" si="42"/>
        <v>-0.518655965583187</v>
      </c>
    </row>
    <row r="90" spans="3:24">
      <c r="C90" s="2">
        <v>1595</v>
      </c>
      <c r="D90" s="2">
        <v>1196</v>
      </c>
      <c r="E90" s="4">
        <f t="shared" si="23"/>
        <v>-8.31694874978614</v>
      </c>
      <c r="F90" s="4">
        <f t="shared" si="44"/>
        <v>169.736276339559</v>
      </c>
      <c r="G90">
        <f t="shared" si="25"/>
        <v>-0.5576171875</v>
      </c>
      <c r="H90">
        <f t="shared" si="26"/>
        <v>-0.16796875</v>
      </c>
      <c r="I90">
        <f t="shared" si="27"/>
        <v>-0.02570443921875</v>
      </c>
      <c r="J90">
        <f t="shared" si="28"/>
        <v>1.00066217089286</v>
      </c>
      <c r="K90">
        <f t="shared" si="29"/>
        <v>-13.22138601</v>
      </c>
      <c r="L90">
        <f t="shared" si="30"/>
        <v>42.70126204</v>
      </c>
      <c r="M90">
        <f t="shared" si="31"/>
        <v>5.62120996344696</v>
      </c>
      <c r="N90">
        <f t="shared" si="32"/>
        <v>-0.989483043553044</v>
      </c>
      <c r="O90">
        <f t="shared" si="33"/>
        <v>-0.144648907776745</v>
      </c>
      <c r="P90">
        <f t="shared" si="34"/>
        <v>-0.145158139403394</v>
      </c>
      <c r="Q90">
        <f t="shared" si="35"/>
        <v>-0.0853327604296875</v>
      </c>
      <c r="R90">
        <f t="shared" si="36"/>
        <v>1.00728168000255</v>
      </c>
      <c r="S90">
        <f t="shared" si="37"/>
        <v>-13.22138601</v>
      </c>
      <c r="T90">
        <f t="shared" si="38"/>
        <v>42.722185346521</v>
      </c>
      <c r="U90">
        <f t="shared" si="39"/>
        <v>5.75150742097471</v>
      </c>
      <c r="V90">
        <f t="shared" si="40"/>
        <v>-0.859185586025291</v>
      </c>
      <c r="W90">
        <f t="shared" si="41"/>
        <v>-0.496008535806066</v>
      </c>
      <c r="X90">
        <f t="shared" si="42"/>
        <v>-0.518995929408193</v>
      </c>
    </row>
    <row r="91" spans="3:24">
      <c r="C91" s="2">
        <v>1591</v>
      </c>
      <c r="D91" s="2">
        <v>1208</v>
      </c>
      <c r="E91" s="4">
        <f t="shared" si="23"/>
        <v>-8.90420660142354</v>
      </c>
      <c r="F91" s="4">
        <f t="shared" si="44"/>
        <v>169.556505977082</v>
      </c>
      <c r="G91">
        <f t="shared" si="25"/>
        <v>-0.5537109375</v>
      </c>
      <c r="H91">
        <f t="shared" si="26"/>
        <v>-0.1796875</v>
      </c>
      <c r="I91">
        <f t="shared" si="27"/>
        <v>-0.0274977721875</v>
      </c>
      <c r="J91">
        <f t="shared" si="28"/>
        <v>1.00075778994553</v>
      </c>
      <c r="K91">
        <f t="shared" si="29"/>
        <v>-13.22138601</v>
      </c>
      <c r="L91">
        <f t="shared" si="30"/>
        <v>42.70126204</v>
      </c>
      <c r="M91">
        <f t="shared" si="31"/>
        <v>5.62274450258217</v>
      </c>
      <c r="N91">
        <f t="shared" si="32"/>
        <v>-0.987948504417833</v>
      </c>
      <c r="O91">
        <f t="shared" si="33"/>
        <v>-0.154782920952432</v>
      </c>
      <c r="P91">
        <f t="shared" si="34"/>
        <v>-0.155407722472655</v>
      </c>
      <c r="Q91">
        <f t="shared" si="35"/>
        <v>-0.0847349827734375</v>
      </c>
      <c r="R91">
        <f t="shared" si="36"/>
        <v>1.00718001730561</v>
      </c>
      <c r="S91">
        <f t="shared" si="37"/>
        <v>-13.22138601</v>
      </c>
      <c r="T91">
        <f t="shared" si="38"/>
        <v>42.7252197926186</v>
      </c>
      <c r="U91">
        <f t="shared" si="39"/>
        <v>5.75130660000497</v>
      </c>
      <c r="V91">
        <f t="shared" si="40"/>
        <v>-0.85938640699503</v>
      </c>
      <c r="W91">
        <f t="shared" si="41"/>
        <v>-0.493281678638474</v>
      </c>
      <c r="X91">
        <f t="shared" si="42"/>
        <v>-0.515858344685467</v>
      </c>
    </row>
    <row r="92" spans="3:24">
      <c r="C92" s="2">
        <v>1590</v>
      </c>
      <c r="D92" s="2">
        <v>1217</v>
      </c>
      <c r="E92" s="4">
        <f t="shared" si="23"/>
        <v>-9.34559492922115</v>
      </c>
      <c r="F92" s="4">
        <f t="shared" si="44"/>
        <v>169.544799707657</v>
      </c>
      <c r="G92">
        <f t="shared" si="25"/>
        <v>-0.552734375</v>
      </c>
      <c r="H92">
        <f t="shared" si="26"/>
        <v>-0.1884765625</v>
      </c>
      <c r="I92">
        <f t="shared" si="27"/>
        <v>-0.0288427719140625</v>
      </c>
      <c r="J92">
        <f t="shared" si="28"/>
        <v>1.00083373457234</v>
      </c>
      <c r="K92">
        <f t="shared" si="29"/>
        <v>-13.22138601</v>
      </c>
      <c r="L92">
        <f t="shared" si="30"/>
        <v>42.70126204</v>
      </c>
      <c r="M92">
        <f t="shared" si="31"/>
        <v>5.6239662044052</v>
      </c>
      <c r="N92">
        <f t="shared" si="32"/>
        <v>-0.986726802594797</v>
      </c>
      <c r="O92">
        <f t="shared" si="33"/>
        <v>-0.162389091508786</v>
      </c>
      <c r="P92">
        <f t="shared" si="34"/>
        <v>-0.163111402072596</v>
      </c>
      <c r="Q92">
        <f t="shared" si="35"/>
        <v>-0.084585538359375</v>
      </c>
      <c r="R92">
        <f t="shared" si="36"/>
        <v>1.00715471329955</v>
      </c>
      <c r="S92">
        <f t="shared" si="37"/>
        <v>-13.22138601</v>
      </c>
      <c r="T92">
        <f t="shared" si="38"/>
        <v>42.7276322570411</v>
      </c>
      <c r="U92">
        <f t="shared" si="39"/>
        <v>5.75226989313335</v>
      </c>
      <c r="V92">
        <f t="shared" si="40"/>
        <v>-0.858423113866652</v>
      </c>
      <c r="W92">
        <f t="shared" si="41"/>
        <v>-0.493103942717017</v>
      </c>
      <c r="X92">
        <f t="shared" si="42"/>
        <v>-0.515654031740865</v>
      </c>
    </row>
    <row r="93" spans="3:24">
      <c r="C93" s="2">
        <v>1588</v>
      </c>
      <c r="D93" s="2">
        <v>1221</v>
      </c>
      <c r="E93" s="4">
        <f t="shared" si="23"/>
        <v>-9.54204059892523</v>
      </c>
      <c r="F93" s="4">
        <f t="shared" si="44"/>
        <v>169.446625153865</v>
      </c>
      <c r="G93">
        <f t="shared" si="25"/>
        <v>-0.55078125</v>
      </c>
      <c r="H93">
        <f t="shared" si="26"/>
        <v>-0.1923828125</v>
      </c>
      <c r="I93">
        <f t="shared" si="27"/>
        <v>-0.0294405495703125</v>
      </c>
      <c r="J93">
        <f t="shared" si="28"/>
        <v>1.00086865164214</v>
      </c>
      <c r="K93">
        <f t="shared" si="29"/>
        <v>-13.22138601</v>
      </c>
      <c r="L93">
        <f t="shared" si="30"/>
        <v>42.70126204</v>
      </c>
      <c r="M93">
        <f t="shared" si="31"/>
        <v>5.62452877411664</v>
      </c>
      <c r="N93">
        <f t="shared" si="32"/>
        <v>-0.986164232883358</v>
      </c>
      <c r="O93">
        <f t="shared" si="33"/>
        <v>-0.165771245340008</v>
      </c>
      <c r="P93">
        <f t="shared" si="34"/>
        <v>-0.166540025810217</v>
      </c>
      <c r="Q93">
        <f t="shared" si="35"/>
        <v>-0.08428664953125</v>
      </c>
      <c r="R93">
        <f t="shared" si="36"/>
        <v>1.0071042392892</v>
      </c>
      <c r="S93">
        <f t="shared" si="37"/>
        <v>-13.22138601</v>
      </c>
      <c r="T93">
        <f t="shared" si="38"/>
        <v>42.7287421457816</v>
      </c>
      <c r="U93">
        <f t="shared" si="39"/>
        <v>5.7519273436495</v>
      </c>
      <c r="V93">
        <f t="shared" si="40"/>
        <v>-0.858765663350496</v>
      </c>
      <c r="W93">
        <f t="shared" si="41"/>
        <v>-0.491612552081085</v>
      </c>
      <c r="X93">
        <f t="shared" si="42"/>
        <v>-0.51394056253552</v>
      </c>
    </row>
    <row r="94" spans="3:24">
      <c r="C94" s="2">
        <v>1582</v>
      </c>
      <c r="D94" s="2">
        <v>1234</v>
      </c>
      <c r="E94" s="4">
        <f t="shared" si="23"/>
        <v>-10.1817084120786</v>
      </c>
      <c r="F94" s="4">
        <f t="shared" si="44"/>
        <v>169.160985531821</v>
      </c>
      <c r="G94">
        <f t="shared" si="25"/>
        <v>-0.544921875</v>
      </c>
      <c r="H94">
        <f t="shared" si="26"/>
        <v>-0.205078125</v>
      </c>
      <c r="I94">
        <f t="shared" si="27"/>
        <v>-0.031383326953125</v>
      </c>
      <c r="J94">
        <f t="shared" si="28"/>
        <v>1.00098707870387</v>
      </c>
      <c r="K94">
        <f t="shared" si="29"/>
        <v>-13.22138601</v>
      </c>
      <c r="L94">
        <f t="shared" si="30"/>
        <v>42.70126204</v>
      </c>
      <c r="M94">
        <f t="shared" si="31"/>
        <v>5.62644091515996</v>
      </c>
      <c r="N94">
        <f t="shared" si="32"/>
        <v>-0.984252091840036</v>
      </c>
      <c r="O94">
        <f t="shared" si="33"/>
        <v>-0.176770528393491</v>
      </c>
      <c r="P94">
        <f t="shared" si="34"/>
        <v>-0.177704335268775</v>
      </c>
      <c r="Q94">
        <f t="shared" si="35"/>
        <v>-0.083389983046875</v>
      </c>
      <c r="R94">
        <f t="shared" si="36"/>
        <v>1.00695388927256</v>
      </c>
      <c r="S94">
        <f t="shared" si="37"/>
        <v>-13.22138601</v>
      </c>
      <c r="T94">
        <f t="shared" si="38"/>
        <v>42.7325098597085</v>
      </c>
      <c r="U94">
        <f t="shared" si="39"/>
        <v>5.7511908583505</v>
      </c>
      <c r="V94">
        <f t="shared" si="40"/>
        <v>-0.859502148649499</v>
      </c>
      <c r="W94">
        <f t="shared" si="41"/>
        <v>-0.487265146444386</v>
      </c>
      <c r="X94">
        <f t="shared" si="42"/>
        <v>-0.508955210656699</v>
      </c>
    </row>
    <row r="95" spans="3:24">
      <c r="C95" s="2">
        <v>1577</v>
      </c>
      <c r="D95" s="2">
        <v>1268</v>
      </c>
      <c r="E95" s="4">
        <f t="shared" si="23"/>
        <v>-11.8643593432556</v>
      </c>
      <c r="F95" s="4">
        <f t="shared" si="44"/>
        <v>169.079761626978</v>
      </c>
      <c r="G95">
        <f t="shared" si="25"/>
        <v>-0.5400390625</v>
      </c>
      <c r="H95">
        <f t="shared" si="26"/>
        <v>-0.23828125</v>
      </c>
      <c r="I95">
        <f t="shared" si="27"/>
        <v>-0.03646443703125</v>
      </c>
      <c r="J95">
        <f t="shared" si="28"/>
        <v>1.00133257863296</v>
      </c>
      <c r="K95">
        <f t="shared" si="29"/>
        <v>-13.22138601</v>
      </c>
      <c r="L95">
        <f t="shared" si="30"/>
        <v>42.70126204</v>
      </c>
      <c r="M95">
        <f t="shared" si="31"/>
        <v>5.63205594256444</v>
      </c>
      <c r="N95">
        <f t="shared" si="32"/>
        <v>-0.978637064435561</v>
      </c>
      <c r="O95">
        <f t="shared" si="33"/>
        <v>-0.205595467150781</v>
      </c>
      <c r="P95">
        <f t="shared" si="34"/>
        <v>-0.207072134179562</v>
      </c>
      <c r="Q95">
        <f t="shared" si="35"/>
        <v>-0.0826427609765625</v>
      </c>
      <c r="R95">
        <f t="shared" si="36"/>
        <v>1.00682982594183</v>
      </c>
      <c r="S95">
        <f t="shared" si="37"/>
        <v>-13.22138601</v>
      </c>
      <c r="T95">
        <f t="shared" si="38"/>
        <v>42.743531536113</v>
      </c>
      <c r="U95">
        <f t="shared" si="39"/>
        <v>5.75541906045423</v>
      </c>
      <c r="V95">
        <f t="shared" si="40"/>
        <v>-0.855273946545772</v>
      </c>
      <c r="W95">
        <f t="shared" si="41"/>
        <v>-0.486026710809298</v>
      </c>
      <c r="X95">
        <f t="shared" si="42"/>
        <v>-0.507537586085869</v>
      </c>
    </row>
    <row r="96" spans="3:24">
      <c r="C96" s="2">
        <v>1590</v>
      </c>
      <c r="D96" s="2">
        <v>1286</v>
      </c>
      <c r="E96" s="4">
        <f t="shared" si="23"/>
        <v>-12.7615014174422</v>
      </c>
      <c r="F96" s="4">
        <f t="shared" si="44"/>
        <v>170.005444232011</v>
      </c>
      <c r="G96">
        <f t="shared" si="25"/>
        <v>-0.552734375</v>
      </c>
      <c r="H96">
        <f t="shared" si="26"/>
        <v>-0.255859375</v>
      </c>
      <c r="I96">
        <f t="shared" si="27"/>
        <v>-0.039154436484375</v>
      </c>
      <c r="J96">
        <f t="shared" si="28"/>
        <v>1.001536440602</v>
      </c>
      <c r="K96">
        <f t="shared" si="29"/>
        <v>-13.22138601</v>
      </c>
      <c r="L96">
        <f t="shared" si="30"/>
        <v>42.70126204</v>
      </c>
      <c r="M96">
        <f t="shared" si="31"/>
        <v>5.63539500841628</v>
      </c>
      <c r="N96">
        <f t="shared" si="32"/>
        <v>-0.975297998583718</v>
      </c>
      <c r="O96">
        <f t="shared" si="33"/>
        <v>-0.220893218453156</v>
      </c>
      <c r="P96">
        <f t="shared" si="34"/>
        <v>-0.222730217232289</v>
      </c>
      <c r="Q96">
        <f t="shared" si="35"/>
        <v>-0.084585538359375</v>
      </c>
      <c r="R96">
        <f t="shared" si="36"/>
        <v>1.00715471329955</v>
      </c>
      <c r="S96">
        <f t="shared" si="37"/>
        <v>-13.22138601</v>
      </c>
      <c r="T96">
        <f t="shared" si="38"/>
        <v>42.7500558539586</v>
      </c>
      <c r="U96">
        <f t="shared" si="39"/>
        <v>5.76610650407693</v>
      </c>
      <c r="V96">
        <f t="shared" si="40"/>
        <v>-0.84458650292307</v>
      </c>
      <c r="W96">
        <f t="shared" si="41"/>
        <v>-0.500082287280695</v>
      </c>
      <c r="X96">
        <f t="shared" si="42"/>
        <v>-0.52369379537214</v>
      </c>
    </row>
    <row r="97" spans="3:24">
      <c r="C97" s="2">
        <v>1611</v>
      </c>
      <c r="D97" s="2">
        <v>1321</v>
      </c>
      <c r="E97" s="4">
        <f t="shared" si="23"/>
        <v>-14.5203296052604</v>
      </c>
      <c r="F97" s="4">
        <f t="shared" si="44"/>
        <v>171.62470204657</v>
      </c>
      <c r="G97">
        <f t="shared" si="25"/>
        <v>-0.5732421875</v>
      </c>
      <c r="H97">
        <f t="shared" si="26"/>
        <v>-0.2900390625</v>
      </c>
      <c r="I97">
        <f t="shared" si="27"/>
        <v>-0.0443849909765625</v>
      </c>
      <c r="J97">
        <f t="shared" si="28"/>
        <v>1.00197435885237</v>
      </c>
      <c r="K97">
        <f t="shared" si="29"/>
        <v>-13.22138601</v>
      </c>
      <c r="L97">
        <f t="shared" si="30"/>
        <v>42.70126204</v>
      </c>
      <c r="M97">
        <f t="shared" si="31"/>
        <v>5.64263426703243</v>
      </c>
      <c r="N97">
        <f t="shared" si="32"/>
        <v>-0.968058739967574</v>
      </c>
      <c r="O97">
        <f t="shared" si="33"/>
        <v>-0.25072350502574</v>
      </c>
      <c r="P97">
        <f t="shared" si="34"/>
        <v>-0.253427560086603</v>
      </c>
      <c r="Q97">
        <f t="shared" si="35"/>
        <v>-0.0877238710546875</v>
      </c>
      <c r="R97">
        <f t="shared" si="36"/>
        <v>1.00769547755282</v>
      </c>
      <c r="S97">
        <f t="shared" si="37"/>
        <v>-13.22138601</v>
      </c>
      <c r="T97">
        <f t="shared" si="38"/>
        <v>42.7641243159724</v>
      </c>
      <c r="U97">
        <f t="shared" si="39"/>
        <v>5.78639007231627</v>
      </c>
      <c r="V97">
        <f t="shared" si="40"/>
        <v>-0.824302934683729</v>
      </c>
      <c r="W97">
        <f t="shared" si="41"/>
        <v>-0.524353064035384</v>
      </c>
      <c r="X97">
        <f t="shared" si="42"/>
        <v>-0.551955175674831</v>
      </c>
    </row>
    <row r="98" spans="3:24">
      <c r="C98" s="2">
        <v>1632</v>
      </c>
      <c r="D98" s="2">
        <v>1326</v>
      </c>
      <c r="E98" s="4">
        <f t="shared" si="23"/>
        <v>-14.7732815016725</v>
      </c>
      <c r="F98" s="4">
        <f t="shared" si="44"/>
        <v>173.025775649009</v>
      </c>
      <c r="G98">
        <f t="shared" si="25"/>
        <v>-0.59375</v>
      </c>
      <c r="H98">
        <f t="shared" si="26"/>
        <v>-0.294921875</v>
      </c>
      <c r="I98">
        <f t="shared" si="27"/>
        <v>-0.045132213046875</v>
      </c>
      <c r="J98">
        <f t="shared" si="28"/>
        <v>1.00204139514983</v>
      </c>
      <c r="K98">
        <f t="shared" si="29"/>
        <v>-13.22138601</v>
      </c>
      <c r="L98">
        <f t="shared" si="30"/>
        <v>42.70126204</v>
      </c>
      <c r="M98">
        <f t="shared" si="31"/>
        <v>5.64375060258343</v>
      </c>
      <c r="N98">
        <f t="shared" si="32"/>
        <v>-0.966942404416569</v>
      </c>
      <c r="O98">
        <f t="shared" si="33"/>
        <v>-0.254994875519302</v>
      </c>
      <c r="P98">
        <f t="shared" si="34"/>
        <v>-0.257842403528157</v>
      </c>
      <c r="Q98">
        <f t="shared" si="35"/>
        <v>-0.09086220375</v>
      </c>
      <c r="R98">
        <f t="shared" si="36"/>
        <v>1.00825594007031</v>
      </c>
      <c r="S98">
        <f t="shared" si="37"/>
        <v>-13.22138601</v>
      </c>
      <c r="T98">
        <f t="shared" si="38"/>
        <v>42.7662844265411</v>
      </c>
      <c r="U98">
        <f t="shared" si="39"/>
        <v>5.7999838706374</v>
      </c>
      <c r="V98">
        <f t="shared" si="40"/>
        <v>-0.810709136362597</v>
      </c>
      <c r="W98">
        <f t="shared" si="41"/>
        <v>-0.545016272569272</v>
      </c>
      <c r="X98">
        <f t="shared" si="42"/>
        <v>-0.576408523100179</v>
      </c>
    </row>
    <row r="99" spans="3:24">
      <c r="C99" s="2">
        <v>1647</v>
      </c>
      <c r="D99" s="2">
        <v>1323</v>
      </c>
      <c r="E99" s="4">
        <f t="shared" si="23"/>
        <v>-14.6214568780007</v>
      </c>
      <c r="F99" s="4">
        <f t="shared" si="44"/>
        <v>173.97797557641</v>
      </c>
      <c r="G99">
        <f t="shared" si="25"/>
        <v>-0.6083984375</v>
      </c>
      <c r="H99">
        <f t="shared" si="26"/>
        <v>-0.2919921875</v>
      </c>
      <c r="I99">
        <f t="shared" si="27"/>
        <v>-0.0446838798046875</v>
      </c>
      <c r="J99">
        <f t="shared" si="28"/>
        <v>1.00200103907493</v>
      </c>
      <c r="K99">
        <f t="shared" si="29"/>
        <v>-13.22138601</v>
      </c>
      <c r="L99">
        <f t="shared" si="30"/>
        <v>42.70126204</v>
      </c>
      <c r="M99">
        <f t="shared" si="31"/>
        <v>5.64307830262667</v>
      </c>
      <c r="N99">
        <f t="shared" si="32"/>
        <v>-0.967614704373325</v>
      </c>
      <c r="O99">
        <f t="shared" si="33"/>
        <v>-0.25243174103215</v>
      </c>
      <c r="P99">
        <f t="shared" si="34"/>
        <v>-0.255192563959483</v>
      </c>
      <c r="Q99">
        <f t="shared" si="35"/>
        <v>-0.0931038699609375</v>
      </c>
      <c r="R99">
        <f t="shared" si="36"/>
        <v>1.0086683306017</v>
      </c>
      <c r="S99">
        <f t="shared" si="37"/>
        <v>-13.22138601</v>
      </c>
      <c r="T99">
        <f t="shared" si="38"/>
        <v>42.7649838238805</v>
      </c>
      <c r="U99">
        <f t="shared" si="39"/>
        <v>5.80829612887763</v>
      </c>
      <c r="V99">
        <f t="shared" si="40"/>
        <v>-0.802396878122368</v>
      </c>
      <c r="W99">
        <f t="shared" si="41"/>
        <v>-0.55887418119341</v>
      </c>
      <c r="X99">
        <f t="shared" si="42"/>
        <v>-0.593027546970581</v>
      </c>
    </row>
    <row r="100" spans="3:24">
      <c r="C100" s="2">
        <v>1669</v>
      </c>
      <c r="D100" s="2">
        <v>1313</v>
      </c>
      <c r="E100" s="4">
        <f t="shared" si="23"/>
        <v>-14.1165204933743</v>
      </c>
      <c r="F100" s="4">
        <f t="shared" si="44"/>
        <v>175.340031703769</v>
      </c>
      <c r="G100">
        <f t="shared" si="25"/>
        <v>-0.6298828125</v>
      </c>
      <c r="H100">
        <f t="shared" si="26"/>
        <v>-0.2822265625</v>
      </c>
      <c r="I100">
        <f t="shared" si="27"/>
        <v>-0.0431894356640625</v>
      </c>
      <c r="J100">
        <f t="shared" si="28"/>
        <v>1.00186942858108</v>
      </c>
      <c r="K100">
        <f t="shared" si="29"/>
        <v>-13.22138601</v>
      </c>
      <c r="L100">
        <f t="shared" si="30"/>
        <v>42.70126204</v>
      </c>
      <c r="M100">
        <f t="shared" si="31"/>
        <v>5.64089127525349</v>
      </c>
      <c r="N100">
        <f t="shared" si="32"/>
        <v>-0.96980173174651</v>
      </c>
      <c r="O100">
        <f t="shared" si="33"/>
        <v>-0.243894651645891</v>
      </c>
      <c r="P100">
        <f t="shared" si="34"/>
        <v>-0.246379761534636</v>
      </c>
      <c r="Q100">
        <f t="shared" si="35"/>
        <v>-0.0963916470703125</v>
      </c>
      <c r="R100">
        <f t="shared" si="36"/>
        <v>1.00929134962493</v>
      </c>
      <c r="S100">
        <f t="shared" si="37"/>
        <v>-13.22138601</v>
      </c>
      <c r="T100">
        <f t="shared" si="38"/>
        <v>42.7607466411015</v>
      </c>
      <c r="U100">
        <f t="shared" si="39"/>
        <v>5.81959310016446</v>
      </c>
      <c r="V100">
        <f t="shared" si="40"/>
        <v>-0.791099906835544</v>
      </c>
      <c r="W100">
        <f t="shared" si="41"/>
        <v>-0.578427706414866</v>
      </c>
      <c r="X100">
        <f t="shared" si="42"/>
        <v>-0.616799910989945</v>
      </c>
    </row>
    <row r="101" spans="3:24">
      <c r="C101" s="2">
        <v>1698</v>
      </c>
      <c r="D101" s="2">
        <v>1310</v>
      </c>
      <c r="E101" s="4">
        <f t="shared" ref="E101:E164" si="45">P101*180/PI()</f>
        <v>-13.9653754415779</v>
      </c>
      <c r="F101" s="4">
        <f t="shared" si="44"/>
        <v>177.302654806642</v>
      </c>
      <c r="G101">
        <f t="shared" ref="G101:G164" si="46">(1024-C101)/1024</f>
        <v>-0.658203125</v>
      </c>
      <c r="H101">
        <f t="shared" ref="H101:H164" si="47">(1024-D101)/1024</f>
        <v>-0.279296875</v>
      </c>
      <c r="I101">
        <f t="shared" ref="I101:I164" si="48">0.15303108*H101</f>
        <v>-0.042741102421875</v>
      </c>
      <c r="J101">
        <f t="shared" ref="J101:J164" si="49">1+1.002198664*I101^2</f>
        <v>1.00183081835967</v>
      </c>
      <c r="K101">
        <f t="shared" ref="K101:K164" si="50">-13.22138601</f>
        <v>-13.22138601</v>
      </c>
      <c r="L101">
        <f t="shared" ref="L101:L164" si="51">42.70126204</f>
        <v>42.70126204</v>
      </c>
      <c r="M101">
        <f t="shared" ref="M101:M164" si="52">(-K101-(K101^2-4*J101*L101)^0.5)/2/J101</f>
        <v>5.64025126146903</v>
      </c>
      <c r="N101">
        <f t="shared" ref="N101:N164" si="53">M101-6.610693007</f>
        <v>-0.97044174553097</v>
      </c>
      <c r="O101">
        <f t="shared" ref="O101:O164" si="54">IF(H101&gt;=0,1,-1)*(1-N101^2)^0.5</f>
        <v>-0.241335489579969</v>
      </c>
      <c r="P101">
        <f t="shared" ref="P101:P164" si="55">ASIN(O101)</f>
        <v>-0.243741782732691</v>
      </c>
      <c r="Q101">
        <f t="shared" ref="Q101:Q164" si="56">0.15303108*G101</f>
        <v>-0.100725535078125</v>
      </c>
      <c r="R101">
        <f t="shared" ref="R101:R164" si="57">1+Q101^2</f>
        <v>1.01014563341677</v>
      </c>
      <c r="S101">
        <f t="shared" ref="S101:S164" si="58">-13.22138601</f>
        <v>-13.22138601</v>
      </c>
      <c r="T101">
        <f t="shared" ref="T101:T164" si="59">43.70126204-(COS(P101))^2</f>
        <v>42.7595048585308</v>
      </c>
      <c r="U101">
        <f t="shared" ref="U101:U164" si="60">(-S101-(S101^2-4*R101*T101)^0.5)/2/R101</f>
        <v>5.83875958313488</v>
      </c>
      <c r="V101">
        <f t="shared" ref="V101:V164" si="61">U101-6.610693007</f>
        <v>-0.771933423865117</v>
      </c>
      <c r="W101">
        <f t="shared" ref="W101:W164" si="62">IF(G101&gt;=0,1,-1)*(1-(V101/COS(P101))^2)^0.5</f>
        <v>-0.606025257971914</v>
      </c>
      <c r="X101">
        <f t="shared" ref="X101:X164" si="63">ASIN(W101)</f>
        <v>-0.651054146110786</v>
      </c>
    </row>
    <row r="102" spans="3:24">
      <c r="C102" s="2">
        <v>1715</v>
      </c>
      <c r="D102" s="2">
        <v>1306</v>
      </c>
      <c r="E102" s="4">
        <f t="shared" si="45"/>
        <v>-13.7640839288119</v>
      </c>
      <c r="F102" s="4">
        <f t="shared" si="44"/>
        <v>178.461092548749</v>
      </c>
      <c r="G102">
        <f t="shared" si="46"/>
        <v>-0.6748046875</v>
      </c>
      <c r="H102">
        <f t="shared" si="47"/>
        <v>-0.275390625</v>
      </c>
      <c r="I102">
        <f t="shared" si="48"/>
        <v>-0.042143324765625</v>
      </c>
      <c r="J102">
        <f t="shared" si="49"/>
        <v>1.00177996478109</v>
      </c>
      <c r="K102">
        <f t="shared" si="50"/>
        <v>-13.22138601</v>
      </c>
      <c r="L102">
        <f t="shared" si="51"/>
        <v>42.70126204</v>
      </c>
      <c r="M102">
        <f t="shared" si="52"/>
        <v>5.63940939232195</v>
      </c>
      <c r="N102">
        <f t="shared" si="53"/>
        <v>-0.971283614678049</v>
      </c>
      <c r="O102">
        <f t="shared" si="54"/>
        <v>-0.23792465163985</v>
      </c>
      <c r="P102">
        <f t="shared" si="55"/>
        <v>-0.240228583078604</v>
      </c>
      <c r="Q102">
        <f t="shared" si="56"/>
        <v>-0.103266090117188</v>
      </c>
      <c r="R102">
        <f t="shared" si="57"/>
        <v>1.01066388536809</v>
      </c>
      <c r="S102">
        <f t="shared" si="58"/>
        <v>-13.22138601</v>
      </c>
      <c r="T102">
        <f t="shared" si="59"/>
        <v>42.7578701798579</v>
      </c>
      <c r="U102">
        <f t="shared" si="60"/>
        <v>5.85014811527411</v>
      </c>
      <c r="V102">
        <f t="shared" si="61"/>
        <v>-0.760544891725893</v>
      </c>
      <c r="W102">
        <f t="shared" si="62"/>
        <v>-0.621983052806492</v>
      </c>
      <c r="X102">
        <f t="shared" si="63"/>
        <v>-0.671272698889924</v>
      </c>
    </row>
    <row r="103" spans="3:24">
      <c r="C103" s="2">
        <v>1737</v>
      </c>
      <c r="D103" s="2">
        <v>1320</v>
      </c>
      <c r="E103" s="4">
        <f t="shared" si="45"/>
        <v>-14.4697924829314</v>
      </c>
      <c r="F103" s="4">
        <f t="shared" si="44"/>
        <v>-179.748242180249</v>
      </c>
      <c r="G103">
        <f t="shared" si="46"/>
        <v>-0.6962890625</v>
      </c>
      <c r="H103">
        <f t="shared" si="47"/>
        <v>-0.2890625</v>
      </c>
      <c r="I103">
        <f t="shared" si="48"/>
        <v>-0.0442355465625</v>
      </c>
      <c r="J103">
        <f t="shared" si="49"/>
        <v>1.0019610858893</v>
      </c>
      <c r="K103">
        <f t="shared" si="50"/>
        <v>-13.22138601</v>
      </c>
      <c r="L103">
        <f t="shared" si="51"/>
        <v>42.70126204</v>
      </c>
      <c r="M103">
        <f t="shared" si="52"/>
        <v>5.64241349567803</v>
      </c>
      <c r="N103">
        <f t="shared" si="53"/>
        <v>-0.968279511321967</v>
      </c>
      <c r="O103">
        <f t="shared" si="54"/>
        <v>-0.249869541869538</v>
      </c>
      <c r="P103">
        <f t="shared" si="55"/>
        <v>-0.252545520907479</v>
      </c>
      <c r="Q103">
        <f t="shared" si="56"/>
        <v>-0.106553867226563</v>
      </c>
      <c r="R103">
        <f t="shared" si="57"/>
        <v>1.01135372662094</v>
      </c>
      <c r="S103">
        <f t="shared" si="58"/>
        <v>-13.22138601</v>
      </c>
      <c r="T103">
        <f t="shared" si="59"/>
        <v>42.7636968279541</v>
      </c>
      <c r="U103">
        <f t="shared" si="60"/>
        <v>5.87168983860629</v>
      </c>
      <c r="V103">
        <f t="shared" si="61"/>
        <v>-0.739003168393713</v>
      </c>
      <c r="W103">
        <f t="shared" si="62"/>
        <v>-0.646147395114373</v>
      </c>
      <c r="X103">
        <f t="shared" si="63"/>
        <v>-0.702525703670026</v>
      </c>
    </row>
    <row r="104" spans="5:24">
      <c r="E104" s="4" t="e">
        <f t="shared" si="45"/>
        <v>#NUM!</v>
      </c>
      <c r="F104" s="4" t="e">
        <f t="shared" si="44"/>
        <v>#NUM!</v>
      </c>
      <c r="G104">
        <f t="shared" si="46"/>
        <v>1</v>
      </c>
      <c r="H104">
        <f t="shared" si="47"/>
        <v>1</v>
      </c>
      <c r="I104">
        <f t="shared" si="48"/>
        <v>0.15303108</v>
      </c>
      <c r="J104">
        <f t="shared" si="49"/>
        <v>1.02347000088402</v>
      </c>
      <c r="K104">
        <f t="shared" si="50"/>
        <v>-13.22138601</v>
      </c>
      <c r="L104">
        <f t="shared" si="51"/>
        <v>42.70126204</v>
      </c>
      <c r="M104" t="e">
        <f t="shared" si="52"/>
        <v>#NUM!</v>
      </c>
      <c r="N104" t="e">
        <f t="shared" si="53"/>
        <v>#NUM!</v>
      </c>
      <c r="O104" t="e">
        <f t="shared" si="54"/>
        <v>#NUM!</v>
      </c>
      <c r="P104" t="e">
        <f t="shared" si="55"/>
        <v>#NUM!</v>
      </c>
      <c r="Q104">
        <f t="shared" si="56"/>
        <v>0.15303108</v>
      </c>
      <c r="R104">
        <f t="shared" si="57"/>
        <v>1.02341851144597</v>
      </c>
      <c r="S104">
        <f t="shared" si="58"/>
        <v>-13.22138601</v>
      </c>
      <c r="T104" t="e">
        <f t="shared" si="59"/>
        <v>#NUM!</v>
      </c>
      <c r="U104" t="e">
        <f t="shared" si="60"/>
        <v>#NUM!</v>
      </c>
      <c r="V104" t="e">
        <f t="shared" si="61"/>
        <v>#NUM!</v>
      </c>
      <c r="W104" t="e">
        <f t="shared" si="62"/>
        <v>#NUM!</v>
      </c>
      <c r="X104" t="e">
        <f t="shared" si="63"/>
        <v>#NUM!</v>
      </c>
    </row>
    <row r="105" spans="3:24">
      <c r="C105" s="2">
        <v>436</v>
      </c>
      <c r="D105" s="2">
        <v>1337</v>
      </c>
      <c r="E105" s="4">
        <f t="shared" si="45"/>
        <v>-15.3313762673442</v>
      </c>
      <c r="F105" s="4">
        <f t="shared" si="44"/>
        <v>108.150042498864</v>
      </c>
      <c r="G105">
        <f t="shared" si="46"/>
        <v>0.57421875</v>
      </c>
      <c r="H105">
        <f t="shared" si="47"/>
        <v>-0.3056640625</v>
      </c>
      <c r="I105">
        <f t="shared" si="48"/>
        <v>-0.0467761016015625</v>
      </c>
      <c r="J105">
        <f t="shared" si="49"/>
        <v>1.00219281436597</v>
      </c>
      <c r="K105">
        <f t="shared" si="50"/>
        <v>-13.22138601</v>
      </c>
      <c r="L105">
        <f t="shared" si="51"/>
        <v>42.70126204</v>
      </c>
      <c r="M105">
        <f t="shared" si="52"/>
        <v>5.64628023510515</v>
      </c>
      <c r="N105">
        <f t="shared" si="53"/>
        <v>-0.964412771894853</v>
      </c>
      <c r="O105">
        <f t="shared" si="54"/>
        <v>-0.264401220507935</v>
      </c>
      <c r="P105">
        <f t="shared" si="55"/>
        <v>-0.267582994727274</v>
      </c>
      <c r="Q105">
        <f t="shared" si="56"/>
        <v>0.08787331546875</v>
      </c>
      <c r="R105">
        <f t="shared" si="57"/>
        <v>1.00772171957147</v>
      </c>
      <c r="S105">
        <f t="shared" si="58"/>
        <v>-13.22138601</v>
      </c>
      <c r="T105">
        <f t="shared" si="59"/>
        <v>42.7711700454061</v>
      </c>
      <c r="U105">
        <f t="shared" si="60"/>
        <v>5.79148906439157</v>
      </c>
      <c r="V105">
        <f t="shared" si="61"/>
        <v>-0.819203942608435</v>
      </c>
      <c r="W105">
        <f t="shared" si="62"/>
        <v>0.527696635979162</v>
      </c>
      <c r="X105">
        <f t="shared" si="63"/>
        <v>0.55588662501508</v>
      </c>
    </row>
    <row r="106" spans="3:24">
      <c r="C106" s="2">
        <v>423</v>
      </c>
      <c r="D106" s="2">
        <v>1333</v>
      </c>
      <c r="E106" s="4">
        <f t="shared" si="45"/>
        <v>-15.1281737286665</v>
      </c>
      <c r="F106" s="4">
        <f t="shared" si="44"/>
        <v>107.35485964675</v>
      </c>
      <c r="G106">
        <f t="shared" si="46"/>
        <v>0.5869140625</v>
      </c>
      <c r="H106">
        <f t="shared" si="47"/>
        <v>-0.3017578125</v>
      </c>
      <c r="I106">
        <f t="shared" si="48"/>
        <v>-0.0461783239453125</v>
      </c>
      <c r="J106">
        <f t="shared" si="49"/>
        <v>1.00213712611619</v>
      </c>
      <c r="K106">
        <f t="shared" si="50"/>
        <v>-13.22138601</v>
      </c>
      <c r="L106">
        <f t="shared" si="51"/>
        <v>42.70126204</v>
      </c>
      <c r="M106">
        <f t="shared" si="52"/>
        <v>5.64534858924218</v>
      </c>
      <c r="N106">
        <f t="shared" si="53"/>
        <v>-0.965344417757818</v>
      </c>
      <c r="O106">
        <f t="shared" si="54"/>
        <v>-0.26097922350988</v>
      </c>
      <c r="P106">
        <f t="shared" si="55"/>
        <v>-0.264036441378937</v>
      </c>
      <c r="Q106">
        <f t="shared" si="56"/>
        <v>0.0898160928515625</v>
      </c>
      <c r="R106">
        <f t="shared" si="57"/>
        <v>1.00806693053512</v>
      </c>
      <c r="S106">
        <f t="shared" si="58"/>
        <v>-13.22138601</v>
      </c>
      <c r="T106">
        <f t="shared" si="59"/>
        <v>42.7693721951038</v>
      </c>
      <c r="U106">
        <f t="shared" si="60"/>
        <v>5.79784629981486</v>
      </c>
      <c r="V106">
        <f t="shared" si="61"/>
        <v>-0.812846707185141</v>
      </c>
      <c r="W106">
        <f t="shared" si="62"/>
        <v>0.539434341988508</v>
      </c>
      <c r="X106">
        <f t="shared" si="63"/>
        <v>0.569765183939872</v>
      </c>
    </row>
    <row r="107" spans="3:24">
      <c r="C107" s="2">
        <v>405</v>
      </c>
      <c r="D107" s="2">
        <v>1332</v>
      </c>
      <c r="E107" s="4">
        <f t="shared" si="45"/>
        <v>-15.077419732749</v>
      </c>
      <c r="F107" s="4">
        <f t="shared" si="44"/>
        <v>106.187873596958</v>
      </c>
      <c r="G107">
        <f t="shared" si="46"/>
        <v>0.6044921875</v>
      </c>
      <c r="H107">
        <f t="shared" si="47"/>
        <v>-0.30078125</v>
      </c>
      <c r="I107">
        <f t="shared" si="48"/>
        <v>-0.04602887953125</v>
      </c>
      <c r="J107">
        <f t="shared" si="49"/>
        <v>1.00212331596743</v>
      </c>
      <c r="K107">
        <f t="shared" si="50"/>
        <v>-13.22138601</v>
      </c>
      <c r="L107">
        <f t="shared" si="51"/>
        <v>42.70126204</v>
      </c>
      <c r="M107">
        <f t="shared" si="52"/>
        <v>5.6451177862702</v>
      </c>
      <c r="N107">
        <f t="shared" si="53"/>
        <v>-0.965575220729799</v>
      </c>
      <c r="O107">
        <f t="shared" si="54"/>
        <v>-0.260123995649382</v>
      </c>
      <c r="P107">
        <f t="shared" si="55"/>
        <v>-0.263150617041634</v>
      </c>
      <c r="Q107">
        <f t="shared" si="56"/>
        <v>0.0925060923046875</v>
      </c>
      <c r="R107">
        <f t="shared" si="57"/>
        <v>1.00855737711348</v>
      </c>
      <c r="S107">
        <f t="shared" si="58"/>
        <v>-13.22138601</v>
      </c>
      <c r="T107">
        <f t="shared" si="59"/>
        <v>42.7689265331126</v>
      </c>
      <c r="U107">
        <f t="shared" si="60"/>
        <v>5.80842869709054</v>
      </c>
      <c r="V107">
        <f t="shared" si="61"/>
        <v>-0.802264309909456</v>
      </c>
      <c r="W107">
        <f t="shared" si="62"/>
        <v>0.556471477295716</v>
      </c>
      <c r="X107">
        <f t="shared" si="63"/>
        <v>0.590132932833596</v>
      </c>
    </row>
    <row r="108" spans="3:24">
      <c r="C108" s="2">
        <v>394</v>
      </c>
      <c r="D108" s="2">
        <v>1321</v>
      </c>
      <c r="E108" s="4">
        <f t="shared" si="45"/>
        <v>-14.5203296052604</v>
      </c>
      <c r="F108" s="4">
        <f t="shared" si="44"/>
        <v>105.579116945023</v>
      </c>
      <c r="G108">
        <f t="shared" si="46"/>
        <v>0.615234375</v>
      </c>
      <c r="H108">
        <f t="shared" si="47"/>
        <v>-0.2900390625</v>
      </c>
      <c r="I108">
        <f t="shared" si="48"/>
        <v>-0.0443849909765625</v>
      </c>
      <c r="J108">
        <f t="shared" si="49"/>
        <v>1.00197435885237</v>
      </c>
      <c r="K108">
        <f t="shared" si="50"/>
        <v>-13.22138601</v>
      </c>
      <c r="L108">
        <f t="shared" si="51"/>
        <v>42.70126204</v>
      </c>
      <c r="M108">
        <f t="shared" si="52"/>
        <v>5.64263426703243</v>
      </c>
      <c r="N108">
        <f t="shared" si="53"/>
        <v>-0.968058739967574</v>
      </c>
      <c r="O108">
        <f t="shared" si="54"/>
        <v>-0.25072350502574</v>
      </c>
      <c r="P108">
        <f t="shared" si="55"/>
        <v>-0.253427560086603</v>
      </c>
      <c r="Q108">
        <f t="shared" si="56"/>
        <v>0.094149980859375</v>
      </c>
      <c r="R108">
        <f t="shared" si="57"/>
        <v>1.00886421889582</v>
      </c>
      <c r="S108">
        <f t="shared" si="58"/>
        <v>-13.22138601</v>
      </c>
      <c r="T108">
        <f t="shared" si="59"/>
        <v>42.7641243159724</v>
      </c>
      <c r="U108">
        <f t="shared" si="60"/>
        <v>5.81213406737576</v>
      </c>
      <c r="V108">
        <f t="shared" si="61"/>
        <v>-0.798558939624238</v>
      </c>
      <c r="W108">
        <f t="shared" si="62"/>
        <v>0.565267701665062</v>
      </c>
      <c r="X108">
        <f t="shared" si="63"/>
        <v>0.600757740753275</v>
      </c>
    </row>
    <row r="109" spans="3:24">
      <c r="C109" s="2">
        <v>367</v>
      </c>
      <c r="D109" s="2">
        <v>1302</v>
      </c>
      <c r="E109" s="4">
        <f t="shared" si="45"/>
        <v>-13.5630569279738</v>
      </c>
      <c r="F109" s="4">
        <f t="shared" si="44"/>
        <v>103.963955467108</v>
      </c>
      <c r="G109">
        <f t="shared" si="46"/>
        <v>0.6416015625</v>
      </c>
      <c r="H109">
        <f t="shared" si="47"/>
        <v>-0.271484375</v>
      </c>
      <c r="I109">
        <f t="shared" si="48"/>
        <v>-0.041545547109375</v>
      </c>
      <c r="J109">
        <f t="shared" si="49"/>
        <v>1.0017298274501</v>
      </c>
      <c r="K109">
        <f t="shared" si="50"/>
        <v>-13.22138601</v>
      </c>
      <c r="L109">
        <f t="shared" si="51"/>
        <v>42.70126204</v>
      </c>
      <c r="M109">
        <f t="shared" si="52"/>
        <v>5.63858059395453</v>
      </c>
      <c r="N109">
        <f t="shared" si="53"/>
        <v>-0.972112413045471</v>
      </c>
      <c r="O109">
        <f t="shared" si="54"/>
        <v>-0.234515364961258</v>
      </c>
      <c r="P109">
        <f t="shared" si="55"/>
        <v>-0.23672000002857</v>
      </c>
      <c r="Q109">
        <f t="shared" si="56"/>
        <v>0.0981849800390625</v>
      </c>
      <c r="R109">
        <f t="shared" si="57"/>
        <v>1.00964029030527</v>
      </c>
      <c r="S109">
        <f t="shared" si="58"/>
        <v>-13.22138601</v>
      </c>
      <c r="T109">
        <f t="shared" si="59"/>
        <v>42.7562594964029</v>
      </c>
      <c r="U109">
        <f t="shared" si="60"/>
        <v>5.82459716114084</v>
      </c>
      <c r="V109">
        <f t="shared" si="61"/>
        <v>-0.786095845859164</v>
      </c>
      <c r="W109">
        <f t="shared" si="62"/>
        <v>0.588294085121646</v>
      </c>
      <c r="X109">
        <f t="shared" si="63"/>
        <v>0.628947626494269</v>
      </c>
    </row>
    <row r="110" spans="3:24">
      <c r="C110" s="2">
        <v>355</v>
      </c>
      <c r="D110" s="2">
        <v>1317</v>
      </c>
      <c r="E110" s="4">
        <f t="shared" si="45"/>
        <v>-14.3182862618463</v>
      </c>
      <c r="F110" s="4">
        <f t="shared" si="44"/>
        <v>102.964817012927</v>
      </c>
      <c r="G110">
        <f t="shared" si="46"/>
        <v>0.6533203125</v>
      </c>
      <c r="H110">
        <f t="shared" si="47"/>
        <v>-0.2861328125</v>
      </c>
      <c r="I110">
        <f t="shared" si="48"/>
        <v>-0.0437872133203125</v>
      </c>
      <c r="J110">
        <f t="shared" si="49"/>
        <v>1.00192153559293</v>
      </c>
      <c r="K110">
        <f t="shared" si="50"/>
        <v>-13.22138601</v>
      </c>
      <c r="L110">
        <f t="shared" si="51"/>
        <v>42.70126204</v>
      </c>
      <c r="M110">
        <f t="shared" si="52"/>
        <v>5.64175615603162</v>
      </c>
      <c r="N110">
        <f t="shared" si="53"/>
        <v>-0.968936850968382</v>
      </c>
      <c r="O110">
        <f t="shared" si="54"/>
        <v>-0.247308266815881</v>
      </c>
      <c r="P110">
        <f t="shared" si="55"/>
        <v>-0.24990123851229</v>
      </c>
      <c r="Q110">
        <f t="shared" si="56"/>
        <v>0.0999783130078125</v>
      </c>
      <c r="R110">
        <f t="shared" si="57"/>
        <v>1.00999566307189</v>
      </c>
      <c r="S110">
        <f t="shared" si="58"/>
        <v>-13.22138601</v>
      </c>
      <c r="T110">
        <f t="shared" si="59"/>
        <v>42.7624234188355</v>
      </c>
      <c r="U110">
        <f t="shared" si="60"/>
        <v>5.83722384722004</v>
      </c>
      <c r="V110">
        <f t="shared" si="61"/>
        <v>-0.773469159779959</v>
      </c>
      <c r="W110">
        <f t="shared" si="62"/>
        <v>0.60230531895332</v>
      </c>
      <c r="X110">
        <f t="shared" si="63"/>
        <v>0.64638588220302</v>
      </c>
    </row>
    <row r="111" spans="3:24">
      <c r="C111" s="2">
        <v>355</v>
      </c>
      <c r="D111" s="2">
        <v>1323</v>
      </c>
      <c r="E111" s="4">
        <f t="shared" si="45"/>
        <v>-14.6214568780007</v>
      </c>
      <c r="F111" s="4">
        <f t="shared" si="44"/>
        <v>102.892419092536</v>
      </c>
      <c r="G111">
        <f t="shared" si="46"/>
        <v>0.6533203125</v>
      </c>
      <c r="H111">
        <f t="shared" si="47"/>
        <v>-0.2919921875</v>
      </c>
      <c r="I111">
        <f t="shared" si="48"/>
        <v>-0.0446838798046875</v>
      </c>
      <c r="J111">
        <f t="shared" si="49"/>
        <v>1.00200103907493</v>
      </c>
      <c r="K111">
        <f t="shared" si="50"/>
        <v>-13.22138601</v>
      </c>
      <c r="L111">
        <f t="shared" si="51"/>
        <v>42.70126204</v>
      </c>
      <c r="M111">
        <f t="shared" si="52"/>
        <v>5.64307830262667</v>
      </c>
      <c r="N111">
        <f t="shared" si="53"/>
        <v>-0.967614704373325</v>
      </c>
      <c r="O111">
        <f t="shared" si="54"/>
        <v>-0.25243174103215</v>
      </c>
      <c r="P111">
        <f t="shared" si="55"/>
        <v>-0.255192563959483</v>
      </c>
      <c r="Q111">
        <f t="shared" si="56"/>
        <v>0.0999783130078125</v>
      </c>
      <c r="R111">
        <f t="shared" si="57"/>
        <v>1.00999566307189</v>
      </c>
      <c r="S111">
        <f t="shared" si="58"/>
        <v>-13.22138601</v>
      </c>
      <c r="T111">
        <f t="shared" si="59"/>
        <v>42.7649838238805</v>
      </c>
      <c r="U111">
        <f t="shared" si="60"/>
        <v>5.83901630306384</v>
      </c>
      <c r="V111">
        <f t="shared" si="61"/>
        <v>-0.771676703936163</v>
      </c>
      <c r="W111">
        <f t="shared" si="62"/>
        <v>0.603313512226679</v>
      </c>
      <c r="X111">
        <f t="shared" si="63"/>
        <v>0.647649464285426</v>
      </c>
    </row>
    <row r="112" spans="3:24">
      <c r="C112" s="2">
        <v>341</v>
      </c>
      <c r="D112" s="2">
        <v>1328</v>
      </c>
      <c r="E112" s="4">
        <f t="shared" si="45"/>
        <v>-14.874587955131</v>
      </c>
      <c r="F112" s="4">
        <f t="shared" si="44"/>
        <v>101.837182963899</v>
      </c>
      <c r="G112">
        <f t="shared" si="46"/>
        <v>0.6669921875</v>
      </c>
      <c r="H112">
        <f t="shared" si="47"/>
        <v>-0.296875</v>
      </c>
      <c r="I112">
        <f t="shared" si="48"/>
        <v>-0.045431101875</v>
      </c>
      <c r="J112">
        <f t="shared" si="49"/>
        <v>1.00206852302713</v>
      </c>
      <c r="K112">
        <f t="shared" si="50"/>
        <v>-13.22138601</v>
      </c>
      <c r="L112">
        <f t="shared" si="51"/>
        <v>42.70126204</v>
      </c>
      <c r="M112">
        <f t="shared" si="52"/>
        <v>5.64420297820492</v>
      </c>
      <c r="N112">
        <f t="shared" si="53"/>
        <v>-0.966490028795083</v>
      </c>
      <c r="O112">
        <f t="shared" si="54"/>
        <v>-0.256704157036226</v>
      </c>
      <c r="P112">
        <f t="shared" si="55"/>
        <v>-0.259610534694527</v>
      </c>
      <c r="Q112">
        <f t="shared" si="56"/>
        <v>0.102070534804688</v>
      </c>
      <c r="R112">
        <f t="shared" si="57"/>
        <v>1.01041839407531</v>
      </c>
      <c r="S112">
        <f t="shared" si="58"/>
        <v>-13.22138601</v>
      </c>
      <c r="T112">
        <f t="shared" si="59"/>
        <v>42.7671590642397</v>
      </c>
      <c r="U112">
        <f t="shared" si="60"/>
        <v>5.8507824385634</v>
      </c>
      <c r="V112">
        <f t="shared" si="61"/>
        <v>-0.759910568436603</v>
      </c>
      <c r="W112">
        <f t="shared" si="62"/>
        <v>0.617898271437058</v>
      </c>
      <c r="X112">
        <f t="shared" si="63"/>
        <v>0.666066809116146</v>
      </c>
    </row>
    <row r="113" spans="3:24">
      <c r="C113" s="2">
        <v>325</v>
      </c>
      <c r="D113" s="2">
        <v>1339</v>
      </c>
      <c r="E113" s="4">
        <f t="shared" si="45"/>
        <v>-15.4330905738844</v>
      </c>
      <c r="F113" s="4">
        <f t="shared" si="44"/>
        <v>100.523363534459</v>
      </c>
      <c r="G113">
        <f t="shared" si="46"/>
        <v>0.6826171875</v>
      </c>
      <c r="H113">
        <f t="shared" si="47"/>
        <v>-0.3076171875</v>
      </c>
      <c r="I113">
        <f t="shared" si="48"/>
        <v>-0.0470749904296875</v>
      </c>
      <c r="J113">
        <f t="shared" si="49"/>
        <v>1.0022209270837</v>
      </c>
      <c r="K113">
        <f t="shared" si="50"/>
        <v>-13.22138601</v>
      </c>
      <c r="L113">
        <f t="shared" si="51"/>
        <v>42.70126204</v>
      </c>
      <c r="M113">
        <f t="shared" si="52"/>
        <v>5.64675113268345</v>
      </c>
      <c r="N113">
        <f t="shared" si="53"/>
        <v>-0.96394187431655</v>
      </c>
      <c r="O113">
        <f t="shared" si="54"/>
        <v>-0.266112876312095</v>
      </c>
      <c r="P113">
        <f t="shared" si="55"/>
        <v>-0.269358244272784</v>
      </c>
      <c r="Q113">
        <f t="shared" si="56"/>
        <v>0.104461645429688</v>
      </c>
      <c r="R113">
        <f t="shared" si="57"/>
        <v>1.01091223536588</v>
      </c>
      <c r="S113">
        <f t="shared" si="58"/>
        <v>-13.22138601</v>
      </c>
      <c r="T113">
        <f t="shared" si="59"/>
        <v>42.7720781029391</v>
      </c>
      <c r="U113">
        <f t="shared" si="60"/>
        <v>5.86664180020784</v>
      </c>
      <c r="V113">
        <f t="shared" si="61"/>
        <v>-0.744051206792163</v>
      </c>
      <c r="W113">
        <f t="shared" si="62"/>
        <v>0.635763521583657</v>
      </c>
      <c r="X113">
        <f t="shared" si="63"/>
        <v>0.688997283936543</v>
      </c>
    </row>
    <row r="114" spans="3:24">
      <c r="C114" s="2">
        <v>319</v>
      </c>
      <c r="D114" s="2">
        <v>1337</v>
      </c>
      <c r="E114" s="4">
        <f t="shared" si="45"/>
        <v>-15.3313762673442</v>
      </c>
      <c r="F114" s="4">
        <f t="shared" si="44"/>
        <v>100.106924539858</v>
      </c>
      <c r="G114">
        <f t="shared" si="46"/>
        <v>0.6884765625</v>
      </c>
      <c r="H114">
        <f t="shared" si="47"/>
        <v>-0.3056640625</v>
      </c>
      <c r="I114">
        <f t="shared" si="48"/>
        <v>-0.0467761016015625</v>
      </c>
      <c r="J114">
        <f t="shared" si="49"/>
        <v>1.00219281436597</v>
      </c>
      <c r="K114">
        <f t="shared" si="50"/>
        <v>-13.22138601</v>
      </c>
      <c r="L114">
        <f t="shared" si="51"/>
        <v>42.70126204</v>
      </c>
      <c r="M114">
        <f t="shared" si="52"/>
        <v>5.64628023510515</v>
      </c>
      <c r="N114">
        <f t="shared" si="53"/>
        <v>-0.964412771894853</v>
      </c>
      <c r="O114">
        <f t="shared" si="54"/>
        <v>-0.264401220507935</v>
      </c>
      <c r="P114">
        <f t="shared" si="55"/>
        <v>-0.267582994727274</v>
      </c>
      <c r="Q114">
        <f t="shared" si="56"/>
        <v>0.105358311914063</v>
      </c>
      <c r="R114">
        <f t="shared" si="57"/>
        <v>1.01110037388938</v>
      </c>
      <c r="S114">
        <f t="shared" si="58"/>
        <v>-13.22138601</v>
      </c>
      <c r="T114">
        <f t="shared" si="59"/>
        <v>42.7711700454061</v>
      </c>
      <c r="U114">
        <f t="shared" si="60"/>
        <v>5.87075437762127</v>
      </c>
      <c r="V114">
        <f t="shared" si="61"/>
        <v>-0.739938629378726</v>
      </c>
      <c r="W114">
        <f t="shared" si="62"/>
        <v>0.641356910358118</v>
      </c>
      <c r="X114">
        <f t="shared" si="63"/>
        <v>0.696265515526036</v>
      </c>
    </row>
    <row r="115" spans="3:24">
      <c r="C115" s="2">
        <v>309</v>
      </c>
      <c r="D115" s="2">
        <v>1341</v>
      </c>
      <c r="E115" s="4">
        <f t="shared" si="45"/>
        <v>-15.5348810849244</v>
      </c>
      <c r="F115" s="4">
        <f t="shared" si="44"/>
        <v>99.2960418860013</v>
      </c>
      <c r="G115">
        <f t="shared" si="46"/>
        <v>0.6982421875</v>
      </c>
      <c r="H115">
        <f t="shared" si="47"/>
        <v>-0.3095703125</v>
      </c>
      <c r="I115">
        <f t="shared" si="48"/>
        <v>-0.0473738792578125</v>
      </c>
      <c r="J115">
        <f t="shared" si="49"/>
        <v>1.00224921886333</v>
      </c>
      <c r="K115">
        <f t="shared" si="50"/>
        <v>-13.22138601</v>
      </c>
      <c r="L115">
        <f t="shared" si="51"/>
        <v>42.70126204</v>
      </c>
      <c r="M115">
        <f t="shared" si="52"/>
        <v>5.64722542434589</v>
      </c>
      <c r="N115">
        <f t="shared" si="53"/>
        <v>-0.963467582654107</v>
      </c>
      <c r="O115">
        <f t="shared" si="54"/>
        <v>-0.267824974889669</v>
      </c>
      <c r="P115">
        <f t="shared" si="55"/>
        <v>-0.271134823837719</v>
      </c>
      <c r="Q115">
        <f t="shared" si="56"/>
        <v>0.106852756054688</v>
      </c>
      <c r="R115">
        <f t="shared" si="57"/>
        <v>1.01141751147648</v>
      </c>
      <c r="S115">
        <f t="shared" si="58"/>
        <v>-13.22138601</v>
      </c>
      <c r="T115">
        <f t="shared" si="59"/>
        <v>42.7729922571747</v>
      </c>
      <c r="U115">
        <f t="shared" si="60"/>
        <v>5.88029855513582</v>
      </c>
      <c r="V115">
        <f t="shared" si="61"/>
        <v>-0.730394451864184</v>
      </c>
      <c r="W115">
        <f t="shared" si="62"/>
        <v>0.652150775802619</v>
      </c>
      <c r="X115">
        <f t="shared" si="63"/>
        <v>0.710418087683139</v>
      </c>
    </row>
    <row r="116" spans="3:24">
      <c r="C116" s="2">
        <v>295</v>
      </c>
      <c r="D116" s="2">
        <v>1353</v>
      </c>
      <c r="E116" s="4">
        <f t="shared" si="45"/>
        <v>-16.147260478823</v>
      </c>
      <c r="F116" s="4">
        <f t="shared" si="44"/>
        <v>98.0266551879726</v>
      </c>
      <c r="G116">
        <f t="shared" si="46"/>
        <v>0.7119140625</v>
      </c>
      <c r="H116">
        <f t="shared" si="47"/>
        <v>-0.3212890625</v>
      </c>
      <c r="I116">
        <f t="shared" si="48"/>
        <v>-0.0491672122265625</v>
      </c>
      <c r="J116">
        <f t="shared" si="49"/>
        <v>1.00242272984093</v>
      </c>
      <c r="K116">
        <f t="shared" si="50"/>
        <v>-13.22138601</v>
      </c>
      <c r="L116">
        <f t="shared" si="51"/>
        <v>42.70126204</v>
      </c>
      <c r="M116">
        <f t="shared" si="52"/>
        <v>5.6501429229219</v>
      </c>
      <c r="N116">
        <f t="shared" si="53"/>
        <v>-0.960550084078096</v>
      </c>
      <c r="O116">
        <f t="shared" si="54"/>
        <v>-0.278107058482094</v>
      </c>
      <c r="P116">
        <f t="shared" si="55"/>
        <v>-0.281822860532618</v>
      </c>
      <c r="Q116">
        <f t="shared" si="56"/>
        <v>0.108944977851563</v>
      </c>
      <c r="R116">
        <f t="shared" si="57"/>
        <v>1.01186900819908</v>
      </c>
      <c r="S116">
        <f t="shared" si="58"/>
        <v>-13.22138601</v>
      </c>
      <c r="T116">
        <f t="shared" si="59"/>
        <v>42.7786055759776</v>
      </c>
      <c r="U116">
        <f t="shared" si="60"/>
        <v>5.89656624669334</v>
      </c>
      <c r="V116">
        <f t="shared" si="61"/>
        <v>-0.714126760306663</v>
      </c>
      <c r="W116">
        <f t="shared" si="62"/>
        <v>0.668784807536314</v>
      </c>
      <c r="X116">
        <f t="shared" si="63"/>
        <v>0.732573065044758</v>
      </c>
    </row>
    <row r="117" spans="3:24">
      <c r="C117" s="2">
        <v>301</v>
      </c>
      <c r="D117" s="2">
        <v>1360</v>
      </c>
      <c r="E117" s="4">
        <f t="shared" si="45"/>
        <v>-16.5058152577439</v>
      </c>
      <c r="F117" s="4">
        <f t="shared" si="44"/>
        <v>98.3788583836424</v>
      </c>
      <c r="G117">
        <f t="shared" si="46"/>
        <v>0.7060546875</v>
      </c>
      <c r="H117">
        <f t="shared" si="47"/>
        <v>-0.328125</v>
      </c>
      <c r="I117">
        <f t="shared" si="48"/>
        <v>-0.050213323125</v>
      </c>
      <c r="J117">
        <f t="shared" si="49"/>
        <v>1.0025269214819</v>
      </c>
      <c r="K117">
        <f t="shared" si="50"/>
        <v>-13.22138601</v>
      </c>
      <c r="L117">
        <f t="shared" si="51"/>
        <v>42.70126204</v>
      </c>
      <c r="M117">
        <f t="shared" si="52"/>
        <v>5.65190210331976</v>
      </c>
      <c r="N117">
        <f t="shared" si="53"/>
        <v>-0.95879090368024</v>
      </c>
      <c r="O117">
        <f t="shared" si="54"/>
        <v>-0.284112659028118</v>
      </c>
      <c r="P117">
        <f t="shared" si="55"/>
        <v>-0.288080821973548</v>
      </c>
      <c r="Q117">
        <f t="shared" si="56"/>
        <v>0.108048311367188</v>
      </c>
      <c r="R117">
        <f t="shared" si="57"/>
        <v>1.0116744375893</v>
      </c>
      <c r="S117">
        <f t="shared" si="58"/>
        <v>-13.22138601</v>
      </c>
      <c r="T117">
        <f t="shared" si="59"/>
        <v>42.78198204302</v>
      </c>
      <c r="U117">
        <f t="shared" si="60"/>
        <v>5.89394593600474</v>
      </c>
      <c r="V117">
        <f t="shared" si="61"/>
        <v>-0.716747070995262</v>
      </c>
      <c r="W117">
        <f t="shared" si="62"/>
        <v>0.664202098074397</v>
      </c>
      <c r="X117">
        <f t="shared" si="63"/>
        <v>0.726425959644275</v>
      </c>
    </row>
    <row r="118" spans="3:24">
      <c r="C118" s="2">
        <v>305</v>
      </c>
      <c r="D118" s="2">
        <v>1345</v>
      </c>
      <c r="E118" s="4">
        <f t="shared" si="45"/>
        <v>-15.7386932802352</v>
      </c>
      <c r="F118" s="4">
        <f t="shared" ref="F118:F181" si="64">IF(140-X118*180/PI()&gt;180,140-X118*180/PI()-360,140-X118*180/PI())</f>
        <v>98.9298044992837</v>
      </c>
      <c r="G118">
        <f t="shared" si="46"/>
        <v>0.7021484375</v>
      </c>
      <c r="H118">
        <f t="shared" si="47"/>
        <v>-0.3134765625</v>
      </c>
      <c r="I118">
        <f t="shared" si="48"/>
        <v>-0.0479716569140625</v>
      </c>
      <c r="J118">
        <f t="shared" si="49"/>
        <v>1.00230633960828</v>
      </c>
      <c r="K118">
        <f t="shared" si="50"/>
        <v>-13.22138601</v>
      </c>
      <c r="L118">
        <f t="shared" si="51"/>
        <v>42.70126204</v>
      </c>
      <c r="M118">
        <f t="shared" si="52"/>
        <v>5.64818422336782</v>
      </c>
      <c r="N118">
        <f t="shared" si="53"/>
        <v>-0.962508783632176</v>
      </c>
      <c r="O118">
        <f t="shared" si="54"/>
        <v>-0.271250514157871</v>
      </c>
      <c r="P118">
        <f t="shared" si="55"/>
        <v>-0.27469201770161</v>
      </c>
      <c r="Q118">
        <f t="shared" si="56"/>
        <v>0.107450533710938</v>
      </c>
      <c r="R118">
        <f t="shared" si="57"/>
        <v>1.01154561719477</v>
      </c>
      <c r="S118">
        <f t="shared" si="58"/>
        <v>-13.22138601</v>
      </c>
      <c r="T118">
        <f t="shared" si="59"/>
        <v>42.7748388814309</v>
      </c>
      <c r="U118">
        <f t="shared" si="60"/>
        <v>5.88505258362488</v>
      </c>
      <c r="V118">
        <f t="shared" si="61"/>
        <v>-0.725640423375125</v>
      </c>
      <c r="W118">
        <f t="shared" si="62"/>
        <v>0.65698316325844</v>
      </c>
      <c r="X118">
        <f t="shared" si="63"/>
        <v>0.716810135925261</v>
      </c>
    </row>
    <row r="119" spans="3:24">
      <c r="C119" s="2">
        <v>320</v>
      </c>
      <c r="D119" s="2">
        <v>1319</v>
      </c>
      <c r="E119" s="4">
        <f t="shared" si="45"/>
        <v>-14.4192729353615</v>
      </c>
      <c r="F119" s="4">
        <f t="shared" si="64"/>
        <v>100.429634904996</v>
      </c>
      <c r="G119">
        <f t="shared" si="46"/>
        <v>0.6875</v>
      </c>
      <c r="H119">
        <f t="shared" si="47"/>
        <v>-0.2880859375</v>
      </c>
      <c r="I119">
        <f t="shared" si="48"/>
        <v>-0.0440861021484375</v>
      </c>
      <c r="J119">
        <f t="shared" si="49"/>
        <v>1.0019478576917</v>
      </c>
      <c r="K119">
        <f t="shared" si="50"/>
        <v>-13.22138601</v>
      </c>
      <c r="L119">
        <f t="shared" si="51"/>
        <v>42.70126204</v>
      </c>
      <c r="M119">
        <f t="shared" si="52"/>
        <v>5.64219355402076</v>
      </c>
      <c r="N119">
        <f t="shared" si="53"/>
        <v>-0.968499452979237</v>
      </c>
      <c r="O119">
        <f t="shared" si="54"/>
        <v>-0.249015681391592</v>
      </c>
      <c r="P119">
        <f t="shared" si="55"/>
        <v>-0.251663788465766</v>
      </c>
      <c r="Q119">
        <f t="shared" si="56"/>
        <v>0.1052088675</v>
      </c>
      <c r="R119">
        <f t="shared" si="57"/>
        <v>1.01106890580063</v>
      </c>
      <c r="S119">
        <f t="shared" si="58"/>
        <v>-13.22138601</v>
      </c>
      <c r="T119">
        <f t="shared" si="59"/>
        <v>42.7632708495789</v>
      </c>
      <c r="U119">
        <f t="shared" si="60"/>
        <v>5.86413214550626</v>
      </c>
      <c r="V119">
        <f t="shared" si="61"/>
        <v>-0.746560861493741</v>
      </c>
      <c r="W119">
        <f t="shared" si="62"/>
        <v>0.637025374508106</v>
      </c>
      <c r="X119">
        <f t="shared" si="63"/>
        <v>0.690633157124064</v>
      </c>
    </row>
    <row r="120" spans="3:24">
      <c r="C120" s="2">
        <v>306</v>
      </c>
      <c r="D120" s="2">
        <v>1332</v>
      </c>
      <c r="E120" s="4">
        <f t="shared" si="45"/>
        <v>-15.077419732749</v>
      </c>
      <c r="F120" s="4">
        <f t="shared" si="64"/>
        <v>99.2019309390808</v>
      </c>
      <c r="G120">
        <f t="shared" si="46"/>
        <v>0.701171875</v>
      </c>
      <c r="H120">
        <f t="shared" si="47"/>
        <v>-0.30078125</v>
      </c>
      <c r="I120">
        <f t="shared" si="48"/>
        <v>-0.04602887953125</v>
      </c>
      <c r="J120">
        <f t="shared" si="49"/>
        <v>1.00212331596743</v>
      </c>
      <c r="K120">
        <f t="shared" si="50"/>
        <v>-13.22138601</v>
      </c>
      <c r="L120">
        <f t="shared" si="51"/>
        <v>42.70126204</v>
      </c>
      <c r="M120">
        <f t="shared" si="52"/>
        <v>5.6451177862702</v>
      </c>
      <c r="N120">
        <f t="shared" si="53"/>
        <v>-0.965575220729799</v>
      </c>
      <c r="O120">
        <f t="shared" si="54"/>
        <v>-0.260123995649382</v>
      </c>
      <c r="P120">
        <f t="shared" si="55"/>
        <v>-0.263150617041634</v>
      </c>
      <c r="Q120">
        <f t="shared" si="56"/>
        <v>0.107301089296875</v>
      </c>
      <c r="R120">
        <f t="shared" si="57"/>
        <v>1.0115135237643</v>
      </c>
      <c r="S120">
        <f t="shared" si="58"/>
        <v>-13.22138601</v>
      </c>
      <c r="T120">
        <f t="shared" si="59"/>
        <v>42.7689265331126</v>
      </c>
      <c r="U120">
        <f t="shared" si="60"/>
        <v>5.87973607644625</v>
      </c>
      <c r="V120">
        <f t="shared" si="61"/>
        <v>-0.73095693055375</v>
      </c>
      <c r="W120">
        <f t="shared" si="62"/>
        <v>0.653395091943499</v>
      </c>
      <c r="X120">
        <f t="shared" si="63"/>
        <v>0.712060633569072</v>
      </c>
    </row>
    <row r="121" spans="3:24">
      <c r="C121" s="2">
        <v>314</v>
      </c>
      <c r="D121" s="2">
        <v>1340</v>
      </c>
      <c r="E121" s="4">
        <f t="shared" si="45"/>
        <v>-15.4839762639808</v>
      </c>
      <c r="F121" s="4">
        <f t="shared" si="64"/>
        <v>99.6888402114388</v>
      </c>
      <c r="G121">
        <f t="shared" si="46"/>
        <v>0.693359375</v>
      </c>
      <c r="H121">
        <f t="shared" si="47"/>
        <v>-0.30859375</v>
      </c>
      <c r="I121">
        <f t="shared" si="48"/>
        <v>-0.04722443484375</v>
      </c>
      <c r="J121">
        <f t="shared" si="49"/>
        <v>1.00223505059078</v>
      </c>
      <c r="K121">
        <f t="shared" si="50"/>
        <v>-13.22138601</v>
      </c>
      <c r="L121">
        <f t="shared" si="51"/>
        <v>42.70126204</v>
      </c>
      <c r="M121">
        <f t="shared" si="52"/>
        <v>5.64698785373476</v>
      </c>
      <c r="N121">
        <f t="shared" si="53"/>
        <v>-0.963705153265241</v>
      </c>
      <c r="O121">
        <f t="shared" si="54"/>
        <v>-0.266968870039222</v>
      </c>
      <c r="P121">
        <f t="shared" si="55"/>
        <v>-0.270246367107115</v>
      </c>
      <c r="Q121">
        <f t="shared" si="56"/>
        <v>0.106105533984375</v>
      </c>
      <c r="R121">
        <f t="shared" si="57"/>
        <v>1.01125838434211</v>
      </c>
      <c r="S121">
        <f t="shared" si="58"/>
        <v>-13.22138601</v>
      </c>
      <c r="T121">
        <f t="shared" si="59"/>
        <v>42.77253441757</v>
      </c>
      <c r="U121">
        <f t="shared" si="60"/>
        <v>5.87582702752453</v>
      </c>
      <c r="V121">
        <f t="shared" si="61"/>
        <v>-0.734865979475468</v>
      </c>
      <c r="W121">
        <f t="shared" si="62"/>
        <v>0.646938316006052</v>
      </c>
      <c r="X121">
        <f t="shared" si="63"/>
        <v>0.703562463607934</v>
      </c>
    </row>
    <row r="122" spans="3:24">
      <c r="C122" s="2">
        <v>324</v>
      </c>
      <c r="D122" s="2">
        <v>1348</v>
      </c>
      <c r="E122" s="4">
        <f t="shared" si="45"/>
        <v>-15.8917572419508</v>
      </c>
      <c r="F122" s="4">
        <f t="shared" si="64"/>
        <v>100.318166505799</v>
      </c>
      <c r="G122">
        <f t="shared" si="46"/>
        <v>0.68359375</v>
      </c>
      <c r="H122">
        <f t="shared" si="47"/>
        <v>-0.31640625</v>
      </c>
      <c r="I122">
        <f t="shared" si="48"/>
        <v>-0.04841999015625</v>
      </c>
      <c r="J122">
        <f t="shared" si="49"/>
        <v>1.00234965020447</v>
      </c>
      <c r="K122">
        <f t="shared" si="50"/>
        <v>-13.22138601</v>
      </c>
      <c r="L122">
        <f t="shared" si="51"/>
        <v>42.70126204</v>
      </c>
      <c r="M122">
        <f t="shared" si="52"/>
        <v>5.64891229473499</v>
      </c>
      <c r="N122">
        <f t="shared" si="53"/>
        <v>-0.961780712265005</v>
      </c>
      <c r="O122">
        <f t="shared" si="54"/>
        <v>-0.273820856610703</v>
      </c>
      <c r="P122">
        <f t="shared" si="55"/>
        <v>-0.277363487799694</v>
      </c>
      <c r="Q122">
        <f t="shared" si="56"/>
        <v>0.10461108984375</v>
      </c>
      <c r="R122">
        <f t="shared" si="57"/>
        <v>1.0109434801183</v>
      </c>
      <c r="S122">
        <f t="shared" si="58"/>
        <v>-13.22138601</v>
      </c>
      <c r="T122">
        <f t="shared" si="59"/>
        <v>42.776239901515</v>
      </c>
      <c r="U122">
        <f t="shared" si="60"/>
        <v>5.87050460159046</v>
      </c>
      <c r="V122">
        <f t="shared" si="61"/>
        <v>-0.740188405409543</v>
      </c>
      <c r="W122">
        <f t="shared" si="62"/>
        <v>0.638523835480546</v>
      </c>
      <c r="X122">
        <f t="shared" si="63"/>
        <v>0.692578647701982</v>
      </c>
    </row>
    <row r="123" spans="3:24">
      <c r="C123" s="2">
        <v>304</v>
      </c>
      <c r="D123" s="2">
        <v>1345</v>
      </c>
      <c r="E123" s="4">
        <f t="shared" si="45"/>
        <v>-15.7386932802352</v>
      </c>
      <c r="F123" s="4">
        <f t="shared" si="64"/>
        <v>98.8531203699119</v>
      </c>
      <c r="G123">
        <f t="shared" si="46"/>
        <v>0.703125</v>
      </c>
      <c r="H123">
        <f t="shared" si="47"/>
        <v>-0.3134765625</v>
      </c>
      <c r="I123">
        <f t="shared" si="48"/>
        <v>-0.0479716569140625</v>
      </c>
      <c r="J123">
        <f t="shared" si="49"/>
        <v>1.00230633960828</v>
      </c>
      <c r="K123">
        <f t="shared" si="50"/>
        <v>-13.22138601</v>
      </c>
      <c r="L123">
        <f t="shared" si="51"/>
        <v>42.70126204</v>
      </c>
      <c r="M123">
        <f t="shared" si="52"/>
        <v>5.64818422336782</v>
      </c>
      <c r="N123">
        <f t="shared" si="53"/>
        <v>-0.962508783632176</v>
      </c>
      <c r="O123">
        <f t="shared" si="54"/>
        <v>-0.271250514157871</v>
      </c>
      <c r="P123">
        <f t="shared" si="55"/>
        <v>-0.27469201770161</v>
      </c>
      <c r="Q123">
        <f t="shared" si="56"/>
        <v>0.107599978125</v>
      </c>
      <c r="R123">
        <f t="shared" si="57"/>
        <v>1.0115777552925</v>
      </c>
      <c r="S123">
        <f t="shared" si="58"/>
        <v>-13.22138601</v>
      </c>
      <c r="T123">
        <f t="shared" si="59"/>
        <v>42.7748388814309</v>
      </c>
      <c r="U123">
        <f t="shared" si="60"/>
        <v>5.88589956731123</v>
      </c>
      <c r="V123">
        <f t="shared" si="61"/>
        <v>-0.72479343968877</v>
      </c>
      <c r="W123">
        <f t="shared" si="62"/>
        <v>0.657991594187215</v>
      </c>
      <c r="X123">
        <f t="shared" si="63"/>
        <v>0.718148526466823</v>
      </c>
    </row>
    <row r="124" spans="3:24">
      <c r="C124" s="2">
        <v>286</v>
      </c>
      <c r="D124" s="2">
        <v>1328</v>
      </c>
      <c r="E124" s="4">
        <f t="shared" si="45"/>
        <v>-14.874587955131</v>
      </c>
      <c r="F124" s="4">
        <f t="shared" si="64"/>
        <v>97.7184417689086</v>
      </c>
      <c r="G124">
        <f t="shared" si="46"/>
        <v>0.720703125</v>
      </c>
      <c r="H124">
        <f t="shared" si="47"/>
        <v>-0.296875</v>
      </c>
      <c r="I124">
        <f t="shared" si="48"/>
        <v>-0.045431101875</v>
      </c>
      <c r="J124">
        <f t="shared" si="49"/>
        <v>1.00206852302713</v>
      </c>
      <c r="K124">
        <f t="shared" si="50"/>
        <v>-13.22138601</v>
      </c>
      <c r="L124">
        <f t="shared" si="51"/>
        <v>42.70126204</v>
      </c>
      <c r="M124">
        <f t="shared" si="52"/>
        <v>5.64420297820492</v>
      </c>
      <c r="N124">
        <f t="shared" si="53"/>
        <v>-0.966490028795083</v>
      </c>
      <c r="O124">
        <f t="shared" si="54"/>
        <v>-0.256704157036226</v>
      </c>
      <c r="P124">
        <f t="shared" si="55"/>
        <v>-0.259610534694527</v>
      </c>
      <c r="Q124">
        <f t="shared" si="56"/>
        <v>0.110289977578125</v>
      </c>
      <c r="R124">
        <f t="shared" si="57"/>
        <v>1.01216387915418</v>
      </c>
      <c r="S124">
        <f t="shared" si="58"/>
        <v>-13.22138601</v>
      </c>
      <c r="T124">
        <f t="shared" si="59"/>
        <v>42.7671590642397</v>
      </c>
      <c r="U124">
        <f t="shared" si="60"/>
        <v>5.89563760249473</v>
      </c>
      <c r="V124">
        <f t="shared" si="61"/>
        <v>-0.715055404505271</v>
      </c>
      <c r="W124">
        <f t="shared" si="62"/>
        <v>0.672774413896495</v>
      </c>
      <c r="X124">
        <f t="shared" si="63"/>
        <v>0.737952404006254</v>
      </c>
    </row>
    <row r="125" spans="3:24">
      <c r="C125" s="2">
        <v>266</v>
      </c>
      <c r="D125" s="2">
        <v>1313</v>
      </c>
      <c r="E125" s="4">
        <f t="shared" si="45"/>
        <v>-14.1165204933743</v>
      </c>
      <c r="F125" s="4">
        <f t="shared" si="64"/>
        <v>96.3541171188059</v>
      </c>
      <c r="G125">
        <f t="shared" si="46"/>
        <v>0.740234375</v>
      </c>
      <c r="H125">
        <f t="shared" si="47"/>
        <v>-0.2822265625</v>
      </c>
      <c r="I125">
        <f t="shared" si="48"/>
        <v>-0.0431894356640625</v>
      </c>
      <c r="J125">
        <f t="shared" si="49"/>
        <v>1.00186942858108</v>
      </c>
      <c r="K125">
        <f t="shared" si="50"/>
        <v>-13.22138601</v>
      </c>
      <c r="L125">
        <f t="shared" si="51"/>
        <v>42.70126204</v>
      </c>
      <c r="M125">
        <f t="shared" si="52"/>
        <v>5.64089127525349</v>
      </c>
      <c r="N125">
        <f t="shared" si="53"/>
        <v>-0.96980173174651</v>
      </c>
      <c r="O125">
        <f t="shared" si="54"/>
        <v>-0.243894651645891</v>
      </c>
      <c r="P125">
        <f t="shared" si="55"/>
        <v>-0.246379761534636</v>
      </c>
      <c r="Q125">
        <f t="shared" si="56"/>
        <v>0.113278865859375</v>
      </c>
      <c r="R125">
        <f t="shared" si="57"/>
        <v>1.01283210145039</v>
      </c>
      <c r="S125">
        <f t="shared" si="58"/>
        <v>-13.22138601</v>
      </c>
      <c r="T125">
        <f t="shared" si="59"/>
        <v>42.7607466411015</v>
      </c>
      <c r="U125">
        <f t="shared" si="60"/>
        <v>5.90892568216074</v>
      </c>
      <c r="V125">
        <f t="shared" si="61"/>
        <v>-0.701767324839259</v>
      </c>
      <c r="W125">
        <f t="shared" si="62"/>
        <v>0.69019924469704</v>
      </c>
      <c r="X125">
        <f t="shared" si="63"/>
        <v>0.761764361216667</v>
      </c>
    </row>
    <row r="126" spans="3:24">
      <c r="C126" s="2">
        <v>261</v>
      </c>
      <c r="D126" s="2">
        <v>1327</v>
      </c>
      <c r="E126" s="4">
        <f t="shared" si="45"/>
        <v>-14.8239256733145</v>
      </c>
      <c r="F126" s="4">
        <f t="shared" si="64"/>
        <v>95.7251200526532</v>
      </c>
      <c r="G126">
        <f t="shared" si="46"/>
        <v>0.7451171875</v>
      </c>
      <c r="H126">
        <f t="shared" si="47"/>
        <v>-0.2958984375</v>
      </c>
      <c r="I126">
        <f t="shared" si="48"/>
        <v>-0.0452816574609375</v>
      </c>
      <c r="J126">
        <f t="shared" si="49"/>
        <v>1.00205493670574</v>
      </c>
      <c r="K126">
        <f t="shared" si="50"/>
        <v>-13.22138601</v>
      </c>
      <c r="L126">
        <f t="shared" si="51"/>
        <v>42.70126204</v>
      </c>
      <c r="M126">
        <f t="shared" si="52"/>
        <v>5.64397637218017</v>
      </c>
      <c r="N126">
        <f t="shared" si="53"/>
        <v>-0.96671663481983</v>
      </c>
      <c r="O126">
        <f t="shared" si="54"/>
        <v>-0.255849463479255</v>
      </c>
      <c r="P126">
        <f t="shared" si="55"/>
        <v>-0.258726311070255</v>
      </c>
      <c r="Q126">
        <f t="shared" si="56"/>
        <v>0.114026087929688</v>
      </c>
      <c r="R126">
        <f t="shared" si="57"/>
        <v>1.01300194872855</v>
      </c>
      <c r="S126">
        <f t="shared" si="58"/>
        <v>-13.22138601</v>
      </c>
      <c r="T126">
        <f t="shared" si="59"/>
        <v>42.7667209879626</v>
      </c>
      <c r="U126">
        <f t="shared" si="60"/>
        <v>5.91852498937557</v>
      </c>
      <c r="V126">
        <f t="shared" si="61"/>
        <v>-0.69216801762443</v>
      </c>
      <c r="W126">
        <f t="shared" si="62"/>
        <v>0.69810143884984</v>
      </c>
      <c r="X126">
        <f t="shared" si="63"/>
        <v>0.772742431006415</v>
      </c>
    </row>
    <row r="127" spans="3:24">
      <c r="C127" s="2">
        <v>275</v>
      </c>
      <c r="D127" s="2">
        <v>1322</v>
      </c>
      <c r="E127" s="4">
        <f t="shared" si="45"/>
        <v>-14.5708843782517</v>
      </c>
      <c r="F127" s="4">
        <f t="shared" si="64"/>
        <v>96.9396964625954</v>
      </c>
      <c r="G127">
        <f t="shared" si="46"/>
        <v>0.7314453125</v>
      </c>
      <c r="H127">
        <f t="shared" si="47"/>
        <v>-0.291015625</v>
      </c>
      <c r="I127">
        <f t="shared" si="48"/>
        <v>-0.044534435390625</v>
      </c>
      <c r="J127">
        <f t="shared" si="49"/>
        <v>1.00198767658091</v>
      </c>
      <c r="K127">
        <f t="shared" si="50"/>
        <v>-13.22138601</v>
      </c>
      <c r="L127">
        <f t="shared" si="51"/>
        <v>42.70126204</v>
      </c>
      <c r="M127">
        <f t="shared" si="52"/>
        <v>5.64285586903129</v>
      </c>
      <c r="N127">
        <f t="shared" si="53"/>
        <v>-0.967837137968711</v>
      </c>
      <c r="O127">
        <f t="shared" si="54"/>
        <v>-0.251577571274816</v>
      </c>
      <c r="P127">
        <f t="shared" si="55"/>
        <v>-0.254309907327898</v>
      </c>
      <c r="Q127">
        <f t="shared" si="56"/>
        <v>0.111933866132813</v>
      </c>
      <c r="R127">
        <f t="shared" si="57"/>
        <v>1.01252919038744</v>
      </c>
      <c r="S127">
        <f t="shared" si="58"/>
        <v>-13.22138601</v>
      </c>
      <c r="T127">
        <f t="shared" si="59"/>
        <v>42.7645533143685</v>
      </c>
      <c r="U127">
        <f t="shared" si="60"/>
        <v>5.90355683905221</v>
      </c>
      <c r="V127">
        <f t="shared" si="61"/>
        <v>-0.707136167947792</v>
      </c>
      <c r="W127">
        <f t="shared" si="62"/>
        <v>0.682767728497564</v>
      </c>
      <c r="X127">
        <f t="shared" si="63"/>
        <v>0.751544073635871</v>
      </c>
    </row>
    <row r="128" spans="3:24">
      <c r="C128" s="2">
        <v>265</v>
      </c>
      <c r="D128" s="2">
        <v>1314</v>
      </c>
      <c r="E128" s="4">
        <f t="shared" si="45"/>
        <v>-14.1669361756757</v>
      </c>
      <c r="F128" s="4">
        <f t="shared" si="64"/>
        <v>96.2579559927969</v>
      </c>
      <c r="G128">
        <f t="shared" si="46"/>
        <v>0.7412109375</v>
      </c>
      <c r="H128">
        <f t="shared" si="47"/>
        <v>-0.283203125</v>
      </c>
      <c r="I128">
        <f t="shared" si="48"/>
        <v>-0.043338880078125</v>
      </c>
      <c r="J128">
        <f t="shared" si="49"/>
        <v>1.00188238818583</v>
      </c>
      <c r="K128">
        <f t="shared" si="50"/>
        <v>-13.22138601</v>
      </c>
      <c r="L128">
        <f t="shared" si="51"/>
        <v>42.70126204</v>
      </c>
      <c r="M128">
        <f t="shared" si="52"/>
        <v>5.64110625836114</v>
      </c>
      <c r="N128">
        <f t="shared" si="53"/>
        <v>-0.969586748638858</v>
      </c>
      <c r="O128">
        <f t="shared" si="54"/>
        <v>-0.244747904718157</v>
      </c>
      <c r="P128">
        <f t="shared" si="55"/>
        <v>-0.247259681185436</v>
      </c>
      <c r="Q128">
        <f t="shared" si="56"/>
        <v>0.113428310273438</v>
      </c>
      <c r="R128">
        <f t="shared" si="57"/>
        <v>1.01286598157149</v>
      </c>
      <c r="S128">
        <f t="shared" si="58"/>
        <v>-13.22138601</v>
      </c>
      <c r="T128">
        <f t="shared" si="59"/>
        <v>42.7611635768639</v>
      </c>
      <c r="U128">
        <f t="shared" si="60"/>
        <v>5.91020538648949</v>
      </c>
      <c r="V128">
        <f t="shared" si="61"/>
        <v>-0.700487620510506</v>
      </c>
      <c r="W128">
        <f t="shared" si="62"/>
        <v>0.691412742906074</v>
      </c>
      <c r="X128">
        <f t="shared" si="63"/>
        <v>0.763442689477948</v>
      </c>
    </row>
    <row r="129" spans="3:24">
      <c r="C129" s="2">
        <v>246</v>
      </c>
      <c r="D129" s="2">
        <v>1306</v>
      </c>
      <c r="E129" s="4">
        <f t="shared" si="45"/>
        <v>-13.7640839288119</v>
      </c>
      <c r="F129" s="4">
        <f t="shared" si="64"/>
        <v>94.8149399423924</v>
      </c>
      <c r="G129">
        <f t="shared" si="46"/>
        <v>0.759765625</v>
      </c>
      <c r="H129">
        <f t="shared" si="47"/>
        <v>-0.275390625</v>
      </c>
      <c r="I129">
        <f t="shared" si="48"/>
        <v>-0.042143324765625</v>
      </c>
      <c r="J129">
        <f t="shared" si="49"/>
        <v>1.00177996478109</v>
      </c>
      <c r="K129">
        <f t="shared" si="50"/>
        <v>-13.22138601</v>
      </c>
      <c r="L129">
        <f t="shared" si="51"/>
        <v>42.70126204</v>
      </c>
      <c r="M129">
        <f t="shared" si="52"/>
        <v>5.63940939232195</v>
      </c>
      <c r="N129">
        <f t="shared" si="53"/>
        <v>-0.971283614678049</v>
      </c>
      <c r="O129">
        <f t="shared" si="54"/>
        <v>-0.23792465163985</v>
      </c>
      <c r="P129">
        <f t="shared" si="55"/>
        <v>-0.240228583078604</v>
      </c>
      <c r="Q129">
        <f t="shared" si="56"/>
        <v>0.116267754140625</v>
      </c>
      <c r="R129">
        <f t="shared" si="57"/>
        <v>1.0135181906529</v>
      </c>
      <c r="S129">
        <f t="shared" si="58"/>
        <v>-13.22138601</v>
      </c>
      <c r="T129">
        <f t="shared" si="59"/>
        <v>42.7578701798579</v>
      </c>
      <c r="U129">
        <f t="shared" si="60"/>
        <v>5.92611365952521</v>
      </c>
      <c r="V129">
        <f t="shared" si="61"/>
        <v>-0.68457934747479</v>
      </c>
      <c r="W129">
        <f t="shared" si="62"/>
        <v>0.709386978211225</v>
      </c>
      <c r="X129">
        <f t="shared" si="63"/>
        <v>0.788628070716632</v>
      </c>
    </row>
    <row r="130" spans="3:24">
      <c r="C130" s="2">
        <v>244</v>
      </c>
      <c r="D130" s="2">
        <v>1315</v>
      </c>
      <c r="E130" s="4">
        <f t="shared" si="45"/>
        <v>-14.2173689813121</v>
      </c>
      <c r="F130" s="4">
        <f t="shared" si="64"/>
        <v>94.5017327227927</v>
      </c>
      <c r="G130">
        <f t="shared" si="46"/>
        <v>0.76171875</v>
      </c>
      <c r="H130">
        <f t="shared" si="47"/>
        <v>-0.2841796875</v>
      </c>
      <c r="I130">
        <f t="shared" si="48"/>
        <v>-0.0434883244921875</v>
      </c>
      <c r="J130">
        <f t="shared" si="49"/>
        <v>1.00189539255606</v>
      </c>
      <c r="K130">
        <f t="shared" si="50"/>
        <v>-13.22138601</v>
      </c>
      <c r="L130">
        <f t="shared" si="51"/>
        <v>42.70126204</v>
      </c>
      <c r="M130">
        <f t="shared" si="52"/>
        <v>5.64132206557961</v>
      </c>
      <c r="N130">
        <f t="shared" si="53"/>
        <v>-0.969370941420386</v>
      </c>
      <c r="O130">
        <f t="shared" si="54"/>
        <v>-0.245601257997094</v>
      </c>
      <c r="P130">
        <f t="shared" si="55"/>
        <v>-0.248139899694808</v>
      </c>
      <c r="Q130">
        <f t="shared" si="56"/>
        <v>0.11656664296875</v>
      </c>
      <c r="R130">
        <f t="shared" si="57"/>
        <v>1.013587782253</v>
      </c>
      <c r="S130">
        <f t="shared" si="58"/>
        <v>-13.22138601</v>
      </c>
      <c r="T130">
        <f t="shared" si="59"/>
        <v>42.7615820179298</v>
      </c>
      <c r="U130">
        <f t="shared" si="60"/>
        <v>5.93123102467361</v>
      </c>
      <c r="V130">
        <f t="shared" si="61"/>
        <v>-0.679461982326385</v>
      </c>
      <c r="W130">
        <f t="shared" si="62"/>
        <v>0.713229252127885</v>
      </c>
      <c r="X130">
        <f t="shared" si="63"/>
        <v>0.794094567939663</v>
      </c>
    </row>
    <row r="131" spans="3:24">
      <c r="C131" s="2">
        <v>244</v>
      </c>
      <c r="D131" s="2">
        <v>1324</v>
      </c>
      <c r="E131" s="4">
        <f t="shared" si="45"/>
        <v>-14.6720471807963</v>
      </c>
      <c r="F131" s="4">
        <f t="shared" si="64"/>
        <v>94.3506191046917</v>
      </c>
      <c r="G131">
        <f t="shared" si="46"/>
        <v>0.76171875</v>
      </c>
      <c r="H131">
        <f t="shared" si="47"/>
        <v>-0.29296875</v>
      </c>
      <c r="I131">
        <f t="shared" si="48"/>
        <v>-0.04483332421875</v>
      </c>
      <c r="J131">
        <f t="shared" si="49"/>
        <v>1.00201444633442</v>
      </c>
      <c r="K131">
        <f t="shared" si="50"/>
        <v>-13.22138601</v>
      </c>
      <c r="L131">
        <f t="shared" si="51"/>
        <v>42.70126204</v>
      </c>
      <c r="M131">
        <f t="shared" si="52"/>
        <v>5.64330156877535</v>
      </c>
      <c r="N131">
        <f t="shared" si="53"/>
        <v>-0.96739143822465</v>
      </c>
      <c r="O131">
        <f t="shared" si="54"/>
        <v>-0.253286014713888</v>
      </c>
      <c r="P131">
        <f t="shared" si="55"/>
        <v>-0.256075531312847</v>
      </c>
      <c r="Q131">
        <f t="shared" si="56"/>
        <v>0.11656664296875</v>
      </c>
      <c r="R131">
        <f t="shared" si="57"/>
        <v>1.013587782253</v>
      </c>
      <c r="S131">
        <f t="shared" si="58"/>
        <v>-13.22138601</v>
      </c>
      <c r="T131">
        <f t="shared" si="59"/>
        <v>42.7654158452496</v>
      </c>
      <c r="U131">
        <f t="shared" si="60"/>
        <v>5.93444062838305</v>
      </c>
      <c r="V131">
        <f t="shared" si="61"/>
        <v>-0.676252378616952</v>
      </c>
      <c r="W131">
        <f t="shared" si="62"/>
        <v>0.715075425496969</v>
      </c>
      <c r="X131">
        <f t="shared" si="63"/>
        <v>0.796731998120127</v>
      </c>
    </row>
    <row r="132" spans="3:24">
      <c r="C132" s="2">
        <v>257</v>
      </c>
      <c r="D132" s="2">
        <v>1320</v>
      </c>
      <c r="E132" s="4">
        <f t="shared" si="45"/>
        <v>-14.4697924829314</v>
      </c>
      <c r="F132" s="4">
        <f t="shared" si="64"/>
        <v>95.5088874528849</v>
      </c>
      <c r="G132">
        <f t="shared" si="46"/>
        <v>0.7490234375</v>
      </c>
      <c r="H132">
        <f t="shared" si="47"/>
        <v>-0.2890625</v>
      </c>
      <c r="I132">
        <f t="shared" si="48"/>
        <v>-0.0442355465625</v>
      </c>
      <c r="J132">
        <f t="shared" si="49"/>
        <v>1.0019610858893</v>
      </c>
      <c r="K132">
        <f t="shared" si="50"/>
        <v>-13.22138601</v>
      </c>
      <c r="L132">
        <f t="shared" si="51"/>
        <v>42.70126204</v>
      </c>
      <c r="M132">
        <f t="shared" si="52"/>
        <v>5.64241349567803</v>
      </c>
      <c r="N132">
        <f t="shared" si="53"/>
        <v>-0.968279511321967</v>
      </c>
      <c r="O132">
        <f t="shared" si="54"/>
        <v>-0.249869541869538</v>
      </c>
      <c r="P132">
        <f t="shared" si="55"/>
        <v>-0.252545520907479</v>
      </c>
      <c r="Q132">
        <f t="shared" si="56"/>
        <v>0.114623865585938</v>
      </c>
      <c r="R132">
        <f t="shared" si="57"/>
        <v>1.01313863056186</v>
      </c>
      <c r="S132">
        <f t="shared" si="58"/>
        <v>-13.22138601</v>
      </c>
      <c r="T132">
        <f t="shared" si="59"/>
        <v>42.7636968279541</v>
      </c>
      <c r="U132">
        <f t="shared" si="60"/>
        <v>5.91996194589784</v>
      </c>
      <c r="V132">
        <f t="shared" si="61"/>
        <v>-0.690731061102162</v>
      </c>
      <c r="W132">
        <f t="shared" si="62"/>
        <v>0.700798619800025</v>
      </c>
      <c r="X132">
        <f t="shared" si="63"/>
        <v>0.776516401822519</v>
      </c>
    </row>
    <row r="133" spans="3:24">
      <c r="C133" s="2">
        <v>267</v>
      </c>
      <c r="D133" s="2">
        <v>1324</v>
      </c>
      <c r="E133" s="4">
        <f t="shared" si="45"/>
        <v>-14.6720471807963</v>
      </c>
      <c r="F133" s="4">
        <f t="shared" si="64"/>
        <v>96.264317594708</v>
      </c>
      <c r="G133">
        <f t="shared" si="46"/>
        <v>0.7392578125</v>
      </c>
      <c r="H133">
        <f t="shared" si="47"/>
        <v>-0.29296875</v>
      </c>
      <c r="I133">
        <f t="shared" si="48"/>
        <v>-0.04483332421875</v>
      </c>
      <c r="J133">
        <f t="shared" si="49"/>
        <v>1.00201444633442</v>
      </c>
      <c r="K133">
        <f t="shared" si="50"/>
        <v>-13.22138601</v>
      </c>
      <c r="L133">
        <f t="shared" si="51"/>
        <v>42.70126204</v>
      </c>
      <c r="M133">
        <f t="shared" si="52"/>
        <v>5.64330156877535</v>
      </c>
      <c r="N133">
        <f t="shared" si="53"/>
        <v>-0.96739143822465</v>
      </c>
      <c r="O133">
        <f t="shared" si="54"/>
        <v>-0.253286014713888</v>
      </c>
      <c r="P133">
        <f t="shared" si="55"/>
        <v>-0.256075531312847</v>
      </c>
      <c r="Q133">
        <f t="shared" si="56"/>
        <v>0.113129421445313</v>
      </c>
      <c r="R133">
        <f t="shared" si="57"/>
        <v>1.01279826599655</v>
      </c>
      <c r="S133">
        <f t="shared" si="58"/>
        <v>-13.22138601</v>
      </c>
      <c r="T133">
        <f t="shared" si="59"/>
        <v>42.7654158452496</v>
      </c>
      <c r="U133">
        <f t="shared" si="60"/>
        <v>5.9117171498313</v>
      </c>
      <c r="V133">
        <f t="shared" si="61"/>
        <v>-0.698975857168704</v>
      </c>
      <c r="W133">
        <f t="shared" si="62"/>
        <v>0.691332523263601</v>
      </c>
      <c r="X133">
        <f t="shared" si="63"/>
        <v>0.763331658578898</v>
      </c>
    </row>
    <row r="134" spans="3:24">
      <c r="C134" s="2">
        <v>260</v>
      </c>
      <c r="D134" s="2">
        <v>1319</v>
      </c>
      <c r="E134" s="4">
        <f t="shared" si="45"/>
        <v>-14.4192729353615</v>
      </c>
      <c r="F134" s="4">
        <f t="shared" si="64"/>
        <v>95.7721270965057</v>
      </c>
      <c r="G134">
        <f t="shared" si="46"/>
        <v>0.74609375</v>
      </c>
      <c r="H134">
        <f t="shared" si="47"/>
        <v>-0.2880859375</v>
      </c>
      <c r="I134">
        <f t="shared" si="48"/>
        <v>-0.0440861021484375</v>
      </c>
      <c r="J134">
        <f t="shared" si="49"/>
        <v>1.0019478576917</v>
      </c>
      <c r="K134">
        <f t="shared" si="50"/>
        <v>-13.22138601</v>
      </c>
      <c r="L134">
        <f t="shared" si="51"/>
        <v>42.70126204</v>
      </c>
      <c r="M134">
        <f t="shared" si="52"/>
        <v>5.64219355402076</v>
      </c>
      <c r="N134">
        <f t="shared" si="53"/>
        <v>-0.968499452979237</v>
      </c>
      <c r="O134">
        <f t="shared" si="54"/>
        <v>-0.249015681391592</v>
      </c>
      <c r="P134">
        <f t="shared" si="55"/>
        <v>-0.251663788465766</v>
      </c>
      <c r="Q134">
        <f t="shared" si="56"/>
        <v>0.11417553234375</v>
      </c>
      <c r="R134">
        <f t="shared" si="57"/>
        <v>1.01303605218598</v>
      </c>
      <c r="S134">
        <f t="shared" si="58"/>
        <v>-13.22138601</v>
      </c>
      <c r="T134">
        <f t="shared" si="59"/>
        <v>42.7632708495789</v>
      </c>
      <c r="U134">
        <f t="shared" si="60"/>
        <v>5.91669402696021</v>
      </c>
      <c r="V134">
        <f t="shared" si="61"/>
        <v>-0.693998980039791</v>
      </c>
      <c r="W134">
        <f t="shared" si="62"/>
        <v>0.697513778672892</v>
      </c>
      <c r="X134">
        <f t="shared" si="63"/>
        <v>0.77192200331956</v>
      </c>
    </row>
    <row r="135" spans="3:24">
      <c r="C135" s="2">
        <v>257</v>
      </c>
      <c r="D135" s="2">
        <v>1321</v>
      </c>
      <c r="E135" s="4">
        <f t="shared" si="45"/>
        <v>-14.5203296052604</v>
      </c>
      <c r="F135" s="4">
        <f t="shared" si="64"/>
        <v>95.4927313823512</v>
      </c>
      <c r="G135">
        <f t="shared" si="46"/>
        <v>0.7490234375</v>
      </c>
      <c r="H135">
        <f t="shared" si="47"/>
        <v>-0.2900390625</v>
      </c>
      <c r="I135">
        <f t="shared" si="48"/>
        <v>-0.0443849909765625</v>
      </c>
      <c r="J135">
        <f t="shared" si="49"/>
        <v>1.00197435885237</v>
      </c>
      <c r="K135">
        <f t="shared" si="50"/>
        <v>-13.22138601</v>
      </c>
      <c r="L135">
        <f t="shared" si="51"/>
        <v>42.70126204</v>
      </c>
      <c r="M135">
        <f t="shared" si="52"/>
        <v>5.64263426703243</v>
      </c>
      <c r="N135">
        <f t="shared" si="53"/>
        <v>-0.968058739967574</v>
      </c>
      <c r="O135">
        <f t="shared" si="54"/>
        <v>-0.25072350502574</v>
      </c>
      <c r="P135">
        <f t="shared" si="55"/>
        <v>-0.253427560086603</v>
      </c>
      <c r="Q135">
        <f t="shared" si="56"/>
        <v>0.114623865585938</v>
      </c>
      <c r="R135">
        <f t="shared" si="57"/>
        <v>1.01313863056186</v>
      </c>
      <c r="S135">
        <f t="shared" si="58"/>
        <v>-13.22138601</v>
      </c>
      <c r="T135">
        <f t="shared" si="59"/>
        <v>42.7641243159724</v>
      </c>
      <c r="U135">
        <f t="shared" si="60"/>
        <v>5.92031075957238</v>
      </c>
      <c r="V135">
        <f t="shared" si="61"/>
        <v>-0.690382247427623</v>
      </c>
      <c r="W135">
        <f t="shared" si="62"/>
        <v>0.700999742545831</v>
      </c>
      <c r="X135">
        <f t="shared" si="63"/>
        <v>0.776798378447517</v>
      </c>
    </row>
    <row r="136" spans="3:24">
      <c r="C136" s="2">
        <v>257</v>
      </c>
      <c r="D136" s="2">
        <v>1316</v>
      </c>
      <c r="E136" s="4">
        <f t="shared" si="45"/>
        <v>-14.2678189850511</v>
      </c>
      <c r="F136" s="4">
        <f t="shared" si="64"/>
        <v>95.5727777124086</v>
      </c>
      <c r="G136">
        <f t="shared" si="46"/>
        <v>0.7490234375</v>
      </c>
      <c r="H136">
        <f t="shared" si="47"/>
        <v>-0.28515625</v>
      </c>
      <c r="I136">
        <f t="shared" si="48"/>
        <v>-0.04363776890625</v>
      </c>
      <c r="J136">
        <f t="shared" si="49"/>
        <v>1.00190844169176</v>
      </c>
      <c r="K136">
        <f t="shared" si="50"/>
        <v>-13.22138601</v>
      </c>
      <c r="L136">
        <f t="shared" si="51"/>
        <v>42.70126204</v>
      </c>
      <c r="M136">
        <f t="shared" si="52"/>
        <v>5.64153869782841</v>
      </c>
      <c r="N136">
        <f t="shared" si="53"/>
        <v>-0.969154309171592</v>
      </c>
      <c r="O136">
        <f t="shared" si="54"/>
        <v>-0.246454711892742</v>
      </c>
      <c r="P136">
        <f t="shared" si="55"/>
        <v>-0.249020418367697</v>
      </c>
      <c r="Q136">
        <f t="shared" si="56"/>
        <v>0.114623865585938</v>
      </c>
      <c r="R136">
        <f t="shared" si="57"/>
        <v>1.01313863056186</v>
      </c>
      <c r="S136">
        <f t="shared" si="58"/>
        <v>-13.22138601</v>
      </c>
      <c r="T136">
        <f t="shared" si="59"/>
        <v>42.7620019650141</v>
      </c>
      <c r="U136">
        <f t="shared" si="60"/>
        <v>5.91858097810329</v>
      </c>
      <c r="V136">
        <f t="shared" si="61"/>
        <v>-0.69211202889671</v>
      </c>
      <c r="W136">
        <f t="shared" si="62"/>
        <v>0.700002720752837</v>
      </c>
      <c r="X136">
        <f t="shared" si="63"/>
        <v>0.775401306433877</v>
      </c>
    </row>
    <row r="137" spans="3:24">
      <c r="C137" s="2">
        <v>263</v>
      </c>
      <c r="D137" s="2">
        <v>1316</v>
      </c>
      <c r="E137" s="4">
        <f t="shared" si="45"/>
        <v>-14.2678189850511</v>
      </c>
      <c r="F137" s="4">
        <f t="shared" si="64"/>
        <v>96.0646380394765</v>
      </c>
      <c r="G137">
        <f t="shared" si="46"/>
        <v>0.7431640625</v>
      </c>
      <c r="H137">
        <f t="shared" si="47"/>
        <v>-0.28515625</v>
      </c>
      <c r="I137">
        <f t="shared" si="48"/>
        <v>-0.04363776890625</v>
      </c>
      <c r="J137">
        <f t="shared" si="49"/>
        <v>1.00190844169176</v>
      </c>
      <c r="K137">
        <f t="shared" si="50"/>
        <v>-13.22138601</v>
      </c>
      <c r="L137">
        <f t="shared" si="51"/>
        <v>42.70126204</v>
      </c>
      <c r="M137">
        <f t="shared" si="52"/>
        <v>5.64153869782841</v>
      </c>
      <c r="N137">
        <f t="shared" si="53"/>
        <v>-0.969154309171592</v>
      </c>
      <c r="O137">
        <f t="shared" si="54"/>
        <v>-0.246454711892742</v>
      </c>
      <c r="P137">
        <f t="shared" si="55"/>
        <v>-0.249020418367697</v>
      </c>
      <c r="Q137">
        <f t="shared" si="56"/>
        <v>0.113727199101563</v>
      </c>
      <c r="R137">
        <f t="shared" si="57"/>
        <v>1.01293387581549</v>
      </c>
      <c r="S137">
        <f t="shared" si="58"/>
        <v>-13.22138601</v>
      </c>
      <c r="T137">
        <f t="shared" si="59"/>
        <v>42.7620019650141</v>
      </c>
      <c r="U137">
        <f t="shared" si="60"/>
        <v>5.91278268009782</v>
      </c>
      <c r="V137">
        <f t="shared" si="61"/>
        <v>-0.697910326902177</v>
      </c>
      <c r="W137">
        <f t="shared" si="62"/>
        <v>0.69384640782236</v>
      </c>
      <c r="X137">
        <f t="shared" si="63"/>
        <v>0.766816724266606</v>
      </c>
    </row>
    <row r="138" spans="5:24">
      <c r="E138" s="4" t="e">
        <f t="shared" si="45"/>
        <v>#NUM!</v>
      </c>
      <c r="F138" s="4" t="e">
        <f t="shared" si="64"/>
        <v>#NUM!</v>
      </c>
      <c r="G138">
        <f t="shared" si="46"/>
        <v>1</v>
      </c>
      <c r="H138">
        <f t="shared" si="47"/>
        <v>1</v>
      </c>
      <c r="I138">
        <f t="shared" si="48"/>
        <v>0.15303108</v>
      </c>
      <c r="J138">
        <f t="shared" si="49"/>
        <v>1.02347000088402</v>
      </c>
      <c r="K138">
        <f t="shared" si="50"/>
        <v>-13.22138601</v>
      </c>
      <c r="L138">
        <f t="shared" si="51"/>
        <v>42.70126204</v>
      </c>
      <c r="M138" t="e">
        <f t="shared" si="52"/>
        <v>#NUM!</v>
      </c>
      <c r="N138" t="e">
        <f t="shared" si="53"/>
        <v>#NUM!</v>
      </c>
      <c r="O138" t="e">
        <f t="shared" si="54"/>
        <v>#NUM!</v>
      </c>
      <c r="P138" t="e">
        <f t="shared" si="55"/>
        <v>#NUM!</v>
      </c>
      <c r="Q138">
        <f t="shared" si="56"/>
        <v>0.15303108</v>
      </c>
      <c r="R138">
        <f t="shared" si="57"/>
        <v>1.02341851144597</v>
      </c>
      <c r="S138">
        <f t="shared" si="58"/>
        <v>-13.22138601</v>
      </c>
      <c r="T138" t="e">
        <f t="shared" si="59"/>
        <v>#NUM!</v>
      </c>
      <c r="U138" t="e">
        <f t="shared" si="60"/>
        <v>#NUM!</v>
      </c>
      <c r="V138" t="e">
        <f t="shared" si="61"/>
        <v>#NUM!</v>
      </c>
      <c r="W138" t="e">
        <f t="shared" si="62"/>
        <v>#NUM!</v>
      </c>
      <c r="X138" t="e">
        <f t="shared" si="63"/>
        <v>#NUM!</v>
      </c>
    </row>
    <row r="139" spans="3:24">
      <c r="C139" s="2">
        <v>1157</v>
      </c>
      <c r="D139" s="2">
        <v>1372</v>
      </c>
      <c r="E139" s="4">
        <f t="shared" si="45"/>
        <v>-17.1228650656214</v>
      </c>
      <c r="F139" s="4">
        <f t="shared" si="64"/>
        <v>146.762339426456</v>
      </c>
      <c r="G139">
        <f t="shared" si="46"/>
        <v>-0.1298828125</v>
      </c>
      <c r="H139">
        <f t="shared" si="47"/>
        <v>-0.33984375</v>
      </c>
      <c r="I139">
        <f t="shared" si="48"/>
        <v>-0.05200665609375</v>
      </c>
      <c r="J139">
        <f t="shared" si="49"/>
        <v>1.0027106389876</v>
      </c>
      <c r="K139">
        <f t="shared" si="50"/>
        <v>-13.22138601</v>
      </c>
      <c r="L139">
        <f t="shared" si="51"/>
        <v>42.70126204</v>
      </c>
      <c r="M139">
        <f t="shared" si="52"/>
        <v>5.65501741117929</v>
      </c>
      <c r="N139">
        <f t="shared" si="53"/>
        <v>-0.955675595820709</v>
      </c>
      <c r="O139">
        <f t="shared" si="54"/>
        <v>-0.294421730775318</v>
      </c>
      <c r="P139">
        <f t="shared" si="55"/>
        <v>-0.298850372769809</v>
      </c>
      <c r="Q139">
        <f t="shared" si="56"/>
        <v>-0.0198761070703125</v>
      </c>
      <c r="R139">
        <f t="shared" si="57"/>
        <v>1.00039505963227</v>
      </c>
      <c r="S139">
        <f t="shared" si="58"/>
        <v>-13.22138601</v>
      </c>
      <c r="T139">
        <f t="shared" si="59"/>
        <v>42.7879461955527</v>
      </c>
      <c r="U139">
        <f t="shared" si="60"/>
        <v>5.66166593100118</v>
      </c>
      <c r="V139">
        <f t="shared" si="61"/>
        <v>-0.949027075998817</v>
      </c>
      <c r="W139">
        <f t="shared" si="62"/>
        <v>-0.117751265547677</v>
      </c>
      <c r="X139">
        <f t="shared" si="63"/>
        <v>-0.118025088129088</v>
      </c>
    </row>
    <row r="140" spans="3:24">
      <c r="C140" s="2">
        <v>1167</v>
      </c>
      <c r="D140" s="2">
        <v>1384</v>
      </c>
      <c r="E140" s="4">
        <f t="shared" si="45"/>
        <v>-17.7430552355226</v>
      </c>
      <c r="F140" s="4">
        <f t="shared" si="64"/>
        <v>147.303937857589</v>
      </c>
      <c r="G140">
        <f t="shared" si="46"/>
        <v>-0.1396484375</v>
      </c>
      <c r="H140">
        <f t="shared" si="47"/>
        <v>-0.3515625</v>
      </c>
      <c r="I140">
        <f t="shared" si="48"/>
        <v>-0.0537999890625</v>
      </c>
      <c r="J140">
        <f t="shared" si="49"/>
        <v>1.00290080272157</v>
      </c>
      <c r="K140">
        <f t="shared" si="50"/>
        <v>-13.22138601</v>
      </c>
      <c r="L140">
        <f t="shared" si="51"/>
        <v>42.70126204</v>
      </c>
      <c r="M140">
        <f t="shared" si="52"/>
        <v>5.65826026205431</v>
      </c>
      <c r="N140">
        <f t="shared" si="53"/>
        <v>-0.952432744945689</v>
      </c>
      <c r="O140">
        <f t="shared" si="54"/>
        <v>-0.304748857840714</v>
      </c>
      <c r="P140">
        <f t="shared" si="55"/>
        <v>-0.309674733223088</v>
      </c>
      <c r="Q140">
        <f t="shared" si="56"/>
        <v>-0.0213705512109375</v>
      </c>
      <c r="R140">
        <f t="shared" si="57"/>
        <v>1.00045670045906</v>
      </c>
      <c r="S140">
        <f t="shared" si="58"/>
        <v>-13.22138601</v>
      </c>
      <c r="T140">
        <f t="shared" si="59"/>
        <v>42.7941339063552</v>
      </c>
      <c r="U140">
        <f t="shared" si="60"/>
        <v>5.66598858014558</v>
      </c>
      <c r="V140">
        <f t="shared" si="61"/>
        <v>-0.944704426854422</v>
      </c>
      <c r="W140">
        <f t="shared" si="62"/>
        <v>-0.127132779798149</v>
      </c>
      <c r="X140">
        <f t="shared" si="63"/>
        <v>-0.127477763975995</v>
      </c>
    </row>
    <row r="141" spans="3:24">
      <c r="C141" s="2">
        <v>1160</v>
      </c>
      <c r="D141" s="2">
        <v>1390</v>
      </c>
      <c r="E141" s="4">
        <f t="shared" si="45"/>
        <v>-18.0543758541834</v>
      </c>
      <c r="F141" s="4">
        <f t="shared" si="64"/>
        <v>146.958018202043</v>
      </c>
      <c r="G141">
        <f t="shared" si="46"/>
        <v>-0.1328125</v>
      </c>
      <c r="H141">
        <f t="shared" si="47"/>
        <v>-0.357421875</v>
      </c>
      <c r="I141">
        <f t="shared" si="48"/>
        <v>-0.054696655546875</v>
      </c>
      <c r="J141">
        <f t="shared" si="49"/>
        <v>1.00299830192415</v>
      </c>
      <c r="K141">
        <f t="shared" si="50"/>
        <v>-13.22138601</v>
      </c>
      <c r="L141">
        <f t="shared" si="51"/>
        <v>42.70126204</v>
      </c>
      <c r="M141">
        <f t="shared" si="52"/>
        <v>5.65993018773026</v>
      </c>
      <c r="N141">
        <f t="shared" si="53"/>
        <v>-0.950762819269737</v>
      </c>
      <c r="O141">
        <f t="shared" si="54"/>
        <v>-0.309919443556322</v>
      </c>
      <c r="P141">
        <f t="shared" si="55"/>
        <v>-0.315108303048064</v>
      </c>
      <c r="Q141">
        <f t="shared" si="56"/>
        <v>-0.0203244403125</v>
      </c>
      <c r="R141">
        <f t="shared" si="57"/>
        <v>1.00041308287402</v>
      </c>
      <c r="S141">
        <f t="shared" si="58"/>
        <v>-13.22138601</v>
      </c>
      <c r="T141">
        <f t="shared" si="59"/>
        <v>42.7973121014943</v>
      </c>
      <c r="U141">
        <f t="shared" si="60"/>
        <v>5.66693238345151</v>
      </c>
      <c r="V141">
        <f t="shared" si="61"/>
        <v>-0.943760623548489</v>
      </c>
      <c r="W141">
        <f t="shared" si="62"/>
        <v>-0.121142051743631</v>
      </c>
      <c r="X141">
        <f t="shared" si="63"/>
        <v>-0.121440327039342</v>
      </c>
    </row>
    <row r="142" spans="3:24">
      <c r="C142" s="2">
        <v>1159</v>
      </c>
      <c r="D142" s="2">
        <v>1393</v>
      </c>
      <c r="E142" s="4">
        <f t="shared" si="45"/>
        <v>-18.2103511422169</v>
      </c>
      <c r="F142" s="4">
        <f t="shared" si="64"/>
        <v>146.913718282194</v>
      </c>
      <c r="G142">
        <f t="shared" si="46"/>
        <v>-0.1318359375</v>
      </c>
      <c r="H142">
        <f t="shared" si="47"/>
        <v>-0.3603515625</v>
      </c>
      <c r="I142">
        <f t="shared" si="48"/>
        <v>-0.0551449887890625</v>
      </c>
      <c r="J142">
        <f t="shared" si="49"/>
        <v>1.00304765585935</v>
      </c>
      <c r="K142">
        <f t="shared" si="50"/>
        <v>-13.22138601</v>
      </c>
      <c r="L142">
        <f t="shared" si="51"/>
        <v>42.70126204</v>
      </c>
      <c r="M142">
        <f t="shared" si="52"/>
        <v>5.66077739787686</v>
      </c>
      <c r="N142">
        <f t="shared" si="53"/>
        <v>-0.949915609123139</v>
      </c>
      <c r="O142">
        <f t="shared" si="54"/>
        <v>-0.312506536802377</v>
      </c>
      <c r="P142">
        <f t="shared" si="55"/>
        <v>-0.317830585375995</v>
      </c>
      <c r="Q142">
        <f t="shared" si="56"/>
        <v>-0.0201749958984375</v>
      </c>
      <c r="R142">
        <f t="shared" si="57"/>
        <v>1.0004070304595</v>
      </c>
      <c r="S142">
        <f t="shared" si="58"/>
        <v>-13.22138601</v>
      </c>
      <c r="T142">
        <f t="shared" si="59"/>
        <v>42.7989223755442</v>
      </c>
      <c r="U142">
        <f t="shared" si="60"/>
        <v>5.66768466248525</v>
      </c>
      <c r="V142">
        <f t="shared" si="61"/>
        <v>-0.943008344514751</v>
      </c>
      <c r="W142">
        <f t="shared" si="62"/>
        <v>-0.120374530477099</v>
      </c>
      <c r="X142">
        <f t="shared" si="63"/>
        <v>-0.120667147579604</v>
      </c>
    </row>
    <row r="143" spans="3:24">
      <c r="C143" s="2">
        <v>1163</v>
      </c>
      <c r="D143" s="2">
        <v>1395</v>
      </c>
      <c r="E143" s="4">
        <f t="shared" si="45"/>
        <v>-18.3144530239027</v>
      </c>
      <c r="F143" s="4">
        <f t="shared" si="64"/>
        <v>147.125161277552</v>
      </c>
      <c r="G143">
        <f t="shared" si="46"/>
        <v>-0.1357421875</v>
      </c>
      <c r="H143">
        <f t="shared" si="47"/>
        <v>-0.3623046875</v>
      </c>
      <c r="I143">
        <f t="shared" si="48"/>
        <v>-0.0554438776171875</v>
      </c>
      <c r="J143">
        <f t="shared" si="49"/>
        <v>1.00308078231018</v>
      </c>
      <c r="K143">
        <f t="shared" si="50"/>
        <v>-13.22138601</v>
      </c>
      <c r="L143">
        <f t="shared" si="51"/>
        <v>42.70126204</v>
      </c>
      <c r="M143">
        <f t="shared" si="52"/>
        <v>5.66134676505708</v>
      </c>
      <c r="N143">
        <f t="shared" si="53"/>
        <v>-0.949346241942916</v>
      </c>
      <c r="O143">
        <f t="shared" si="54"/>
        <v>-0.314231941261328</v>
      </c>
      <c r="P143">
        <f t="shared" si="55"/>
        <v>-0.319647505968935</v>
      </c>
      <c r="Q143">
        <f t="shared" si="56"/>
        <v>-0.0207727735546875</v>
      </c>
      <c r="R143">
        <f t="shared" si="57"/>
        <v>1.00043150812115</v>
      </c>
      <c r="S143">
        <f t="shared" si="58"/>
        <v>-13.22138601</v>
      </c>
      <c r="T143">
        <f t="shared" si="59"/>
        <v>42.8000037529089</v>
      </c>
      <c r="U143">
        <f t="shared" si="60"/>
        <v>5.66867803163315</v>
      </c>
      <c r="V143">
        <f t="shared" si="61"/>
        <v>-0.942014975366853</v>
      </c>
      <c r="W143">
        <f t="shared" si="62"/>
        <v>-0.124037244537962</v>
      </c>
      <c r="X143">
        <f t="shared" si="63"/>
        <v>-0.124357524028885</v>
      </c>
    </row>
    <row r="144" spans="3:24">
      <c r="C144" s="2">
        <v>1176</v>
      </c>
      <c r="D144" s="2">
        <v>1380</v>
      </c>
      <c r="E144" s="4">
        <f t="shared" si="45"/>
        <v>-17.5359668602257</v>
      </c>
      <c r="F144" s="4">
        <f t="shared" si="64"/>
        <v>147.75726576723</v>
      </c>
      <c r="G144">
        <f t="shared" si="46"/>
        <v>-0.1484375</v>
      </c>
      <c r="H144">
        <f t="shared" si="47"/>
        <v>-0.34765625</v>
      </c>
      <c r="I144">
        <f t="shared" si="48"/>
        <v>-0.05320221140625</v>
      </c>
      <c r="J144">
        <f t="shared" si="49"/>
        <v>1.00283669856266</v>
      </c>
      <c r="K144">
        <f t="shared" si="50"/>
        <v>-13.22138601</v>
      </c>
      <c r="L144">
        <f t="shared" si="51"/>
        <v>42.70126204</v>
      </c>
      <c r="M144">
        <f t="shared" si="52"/>
        <v>5.65716500924755</v>
      </c>
      <c r="N144">
        <f t="shared" si="53"/>
        <v>-0.953527997752452</v>
      </c>
      <c r="O144">
        <f t="shared" si="54"/>
        <v>-0.301304426622313</v>
      </c>
      <c r="P144">
        <f t="shared" si="55"/>
        <v>-0.306060359231551</v>
      </c>
      <c r="Q144">
        <f t="shared" si="56"/>
        <v>-0.0227155509375</v>
      </c>
      <c r="R144">
        <f t="shared" si="57"/>
        <v>1.00051599625439</v>
      </c>
      <c r="S144">
        <f t="shared" si="58"/>
        <v>-13.22138601</v>
      </c>
      <c r="T144">
        <f t="shared" si="59"/>
        <v>42.7920463975022</v>
      </c>
      <c r="U144">
        <f t="shared" si="60"/>
        <v>5.66589094537553</v>
      </c>
      <c r="V144">
        <f t="shared" si="61"/>
        <v>-0.944802061624468</v>
      </c>
      <c r="W144">
        <f t="shared" si="62"/>
        <v>-0.134976582440147</v>
      </c>
      <c r="X144">
        <f t="shared" si="63"/>
        <v>-0.135389828590411</v>
      </c>
    </row>
    <row r="145" spans="3:24">
      <c r="C145" s="2">
        <v>1174</v>
      </c>
      <c r="D145" s="2">
        <v>1387</v>
      </c>
      <c r="E145" s="4">
        <f t="shared" si="45"/>
        <v>-17.8986113800745</v>
      </c>
      <c r="F145" s="4">
        <f t="shared" si="64"/>
        <v>147.672509545067</v>
      </c>
      <c r="G145">
        <f t="shared" si="46"/>
        <v>-0.146484375</v>
      </c>
      <c r="H145">
        <f t="shared" si="47"/>
        <v>-0.3544921875</v>
      </c>
      <c r="I145">
        <f t="shared" si="48"/>
        <v>-0.0542483223046875</v>
      </c>
      <c r="J145">
        <f t="shared" si="49"/>
        <v>1.00294935087823</v>
      </c>
      <c r="K145">
        <f t="shared" si="50"/>
        <v>-13.22138601</v>
      </c>
      <c r="L145">
        <f t="shared" si="51"/>
        <v>42.70126204</v>
      </c>
      <c r="M145">
        <f t="shared" si="52"/>
        <v>5.6590911543082</v>
      </c>
      <c r="N145">
        <f t="shared" si="53"/>
        <v>-0.951601852691804</v>
      </c>
      <c r="O145">
        <f t="shared" si="54"/>
        <v>-0.307333554877314</v>
      </c>
      <c r="P145">
        <f t="shared" si="55"/>
        <v>-0.312389700117226</v>
      </c>
      <c r="Q145">
        <f t="shared" si="56"/>
        <v>-0.022416662109375</v>
      </c>
      <c r="R145">
        <f t="shared" si="57"/>
        <v>1.00050250674013</v>
      </c>
      <c r="S145">
        <f t="shared" si="58"/>
        <v>-13.22138601</v>
      </c>
      <c r="T145">
        <f t="shared" si="59"/>
        <v>42.7957159539535</v>
      </c>
      <c r="U145">
        <f t="shared" si="60"/>
        <v>5.66761049162524</v>
      </c>
      <c r="V145">
        <f t="shared" si="61"/>
        <v>-0.943082515374762</v>
      </c>
      <c r="W145">
        <f t="shared" si="62"/>
        <v>-0.133510697314121</v>
      </c>
      <c r="X145">
        <f t="shared" si="63"/>
        <v>-0.133910553452108</v>
      </c>
    </row>
    <row r="146" spans="3:24">
      <c r="C146" s="2">
        <v>1182</v>
      </c>
      <c r="D146" s="2">
        <v>1388</v>
      </c>
      <c r="E146" s="4">
        <f t="shared" si="45"/>
        <v>-17.9505096015103</v>
      </c>
      <c r="F146" s="4">
        <f t="shared" si="64"/>
        <v>148.088517911708</v>
      </c>
      <c r="G146">
        <f t="shared" si="46"/>
        <v>-0.154296875</v>
      </c>
      <c r="H146">
        <f t="shared" si="47"/>
        <v>-0.35546875</v>
      </c>
      <c r="I146">
        <f t="shared" si="48"/>
        <v>-0.05439776671875</v>
      </c>
      <c r="J146">
        <f t="shared" si="49"/>
        <v>1.00296562312806</v>
      </c>
      <c r="K146">
        <f t="shared" si="50"/>
        <v>-13.22138601</v>
      </c>
      <c r="L146">
        <f t="shared" si="51"/>
        <v>42.70126204</v>
      </c>
      <c r="M146">
        <f t="shared" si="52"/>
        <v>5.65936992579593</v>
      </c>
      <c r="N146">
        <f t="shared" si="53"/>
        <v>-0.951323081204065</v>
      </c>
      <c r="O146">
        <f t="shared" si="54"/>
        <v>-0.308195384729239</v>
      </c>
      <c r="P146">
        <f t="shared" si="55"/>
        <v>-0.31329549495721</v>
      </c>
      <c r="Q146">
        <f t="shared" si="56"/>
        <v>-0.023612217421875</v>
      </c>
      <c r="R146">
        <f t="shared" si="57"/>
        <v>1.00055753681158</v>
      </c>
      <c r="S146">
        <f t="shared" si="58"/>
        <v>-13.22138601</v>
      </c>
      <c r="T146">
        <f t="shared" si="59"/>
        <v>42.7962464351684</v>
      </c>
      <c r="U146">
        <f t="shared" si="60"/>
        <v>5.66883380721967</v>
      </c>
      <c r="V146">
        <f t="shared" si="61"/>
        <v>-0.941859199780334</v>
      </c>
      <c r="W146">
        <f t="shared" si="62"/>
        <v>-0.14070282812534</v>
      </c>
      <c r="X146">
        <f t="shared" si="63"/>
        <v>-0.14117126916584</v>
      </c>
    </row>
    <row r="147" spans="3:24">
      <c r="C147" s="2">
        <v>1162</v>
      </c>
      <c r="D147" s="2">
        <v>1394</v>
      </c>
      <c r="E147" s="4">
        <f t="shared" si="45"/>
        <v>-18.2623901852096</v>
      </c>
      <c r="F147" s="4">
        <f t="shared" si="64"/>
        <v>147.071009606014</v>
      </c>
      <c r="G147">
        <f t="shared" si="46"/>
        <v>-0.134765625</v>
      </c>
      <c r="H147">
        <f t="shared" si="47"/>
        <v>-0.361328125</v>
      </c>
      <c r="I147">
        <f t="shared" si="48"/>
        <v>-0.055294433203125</v>
      </c>
      <c r="J147">
        <f t="shared" si="49"/>
        <v>1.00306419670202</v>
      </c>
      <c r="K147">
        <f t="shared" si="50"/>
        <v>-13.22138601</v>
      </c>
      <c r="L147">
        <f t="shared" si="51"/>
        <v>42.70126204</v>
      </c>
      <c r="M147">
        <f t="shared" si="52"/>
        <v>5.66106162452837</v>
      </c>
      <c r="N147">
        <f t="shared" si="53"/>
        <v>-0.949631382471632</v>
      </c>
      <c r="O147">
        <f t="shared" si="54"/>
        <v>-0.313369171146455</v>
      </c>
      <c r="P147">
        <f t="shared" si="55"/>
        <v>-0.318738838015804</v>
      </c>
      <c r="Q147">
        <f t="shared" si="56"/>
        <v>-0.020623329140625</v>
      </c>
      <c r="R147">
        <f t="shared" si="57"/>
        <v>1.00042532170484</v>
      </c>
      <c r="S147">
        <f t="shared" si="58"/>
        <v>-13.22138601</v>
      </c>
      <c r="T147">
        <f t="shared" si="59"/>
        <v>42.799462277425</v>
      </c>
      <c r="U147">
        <f t="shared" si="60"/>
        <v>5.66828418801168</v>
      </c>
      <c r="V147">
        <f t="shared" si="61"/>
        <v>-0.942408818988318</v>
      </c>
      <c r="W147">
        <f t="shared" si="62"/>
        <v>-0.123099362982985</v>
      </c>
      <c r="X147">
        <f t="shared" si="63"/>
        <v>-0.12341239906509</v>
      </c>
    </row>
    <row r="148" spans="3:24">
      <c r="C148" s="2">
        <v>1155</v>
      </c>
      <c r="D148" s="2">
        <v>1409</v>
      </c>
      <c r="E148" s="4">
        <f t="shared" si="45"/>
        <v>-19.04588437773</v>
      </c>
      <c r="F148" s="4">
        <f t="shared" si="64"/>
        <v>146.746253480442</v>
      </c>
      <c r="G148">
        <f t="shared" si="46"/>
        <v>-0.1279296875</v>
      </c>
      <c r="H148">
        <f t="shared" si="47"/>
        <v>-0.3759765625</v>
      </c>
      <c r="I148">
        <f t="shared" si="48"/>
        <v>-0.0575360994140625</v>
      </c>
      <c r="J148">
        <f t="shared" si="49"/>
        <v>1.00331768119911</v>
      </c>
      <c r="K148">
        <f t="shared" si="50"/>
        <v>-13.22138601</v>
      </c>
      <c r="L148">
        <f t="shared" si="51"/>
        <v>42.70126204</v>
      </c>
      <c r="M148">
        <f t="shared" si="52"/>
        <v>5.66543546044327</v>
      </c>
      <c r="N148">
        <f t="shared" si="53"/>
        <v>-0.945257546556729</v>
      </c>
      <c r="O148">
        <f t="shared" si="54"/>
        <v>-0.326325252895871</v>
      </c>
      <c r="P148">
        <f t="shared" si="55"/>
        <v>-0.33241339134554</v>
      </c>
      <c r="Q148">
        <f t="shared" si="56"/>
        <v>-0.0195772182421875</v>
      </c>
      <c r="R148">
        <f t="shared" si="57"/>
        <v>1.0003832674741</v>
      </c>
      <c r="S148">
        <f t="shared" si="58"/>
        <v>-13.22138601</v>
      </c>
      <c r="T148">
        <f t="shared" si="59"/>
        <v>42.8077502106776</v>
      </c>
      <c r="U148">
        <f t="shared" si="60"/>
        <v>5.67198029089005</v>
      </c>
      <c r="V148">
        <f t="shared" si="61"/>
        <v>-0.938712716109952</v>
      </c>
      <c r="W148">
        <f t="shared" si="62"/>
        <v>-0.117472461352197</v>
      </c>
      <c r="X148">
        <f t="shared" si="63"/>
        <v>-0.117744335407836</v>
      </c>
    </row>
    <row r="149" spans="3:24">
      <c r="C149" s="2">
        <v>1149</v>
      </c>
      <c r="D149" s="2">
        <v>1397</v>
      </c>
      <c r="E149" s="4">
        <f t="shared" si="45"/>
        <v>-18.4186504637651</v>
      </c>
      <c r="F149" s="4">
        <f t="shared" si="64"/>
        <v>146.407285902412</v>
      </c>
      <c r="G149">
        <f t="shared" si="46"/>
        <v>-0.1220703125</v>
      </c>
      <c r="H149">
        <f t="shared" si="47"/>
        <v>-0.3642578125</v>
      </c>
      <c r="I149">
        <f t="shared" si="48"/>
        <v>-0.0557427664453125</v>
      </c>
      <c r="J149">
        <f t="shared" si="49"/>
        <v>1.00311408782291</v>
      </c>
      <c r="K149">
        <f t="shared" si="50"/>
        <v>-13.22138601</v>
      </c>
      <c r="L149">
        <f t="shared" si="51"/>
        <v>42.70126204</v>
      </c>
      <c r="M149">
        <f t="shared" si="52"/>
        <v>5.66191979317345</v>
      </c>
      <c r="N149">
        <f t="shared" si="53"/>
        <v>-0.948773213826552</v>
      </c>
      <c r="O149">
        <f t="shared" si="54"/>
        <v>-0.315957890746909</v>
      </c>
      <c r="P149">
        <f t="shared" si="55"/>
        <v>-0.321466094366681</v>
      </c>
      <c r="Q149">
        <f t="shared" si="56"/>
        <v>-0.0186805517578125</v>
      </c>
      <c r="R149">
        <f t="shared" si="57"/>
        <v>1.00034896301398</v>
      </c>
      <c r="S149">
        <f t="shared" si="58"/>
        <v>-13.22138601</v>
      </c>
      <c r="T149">
        <f t="shared" si="59"/>
        <v>42.8010914287252</v>
      </c>
      <c r="U149">
        <f t="shared" si="60"/>
        <v>5.66784608076027</v>
      </c>
      <c r="V149">
        <f t="shared" si="61"/>
        <v>-0.942846926239728</v>
      </c>
      <c r="W149">
        <f t="shared" si="62"/>
        <v>-0.111595301800793</v>
      </c>
      <c r="X149">
        <f t="shared" si="63"/>
        <v>-0.111828235113704</v>
      </c>
    </row>
    <row r="150" spans="3:24">
      <c r="C150" s="2">
        <v>1178</v>
      </c>
      <c r="D150" s="2">
        <v>1404</v>
      </c>
      <c r="E150" s="4">
        <f t="shared" si="45"/>
        <v>-18.7841049502281</v>
      </c>
      <c r="F150" s="4">
        <f t="shared" si="64"/>
        <v>147.926699559813</v>
      </c>
      <c r="G150">
        <f t="shared" si="46"/>
        <v>-0.150390625</v>
      </c>
      <c r="H150">
        <f t="shared" si="47"/>
        <v>-0.37109375</v>
      </c>
      <c r="I150">
        <f t="shared" si="48"/>
        <v>-0.05678887734375</v>
      </c>
      <c r="J150">
        <f t="shared" si="49"/>
        <v>1.00323206722989</v>
      </c>
      <c r="K150">
        <f t="shared" si="50"/>
        <v>-13.22138601</v>
      </c>
      <c r="L150">
        <f t="shared" si="51"/>
        <v>42.70126204</v>
      </c>
      <c r="M150">
        <f t="shared" si="52"/>
        <v>5.66395438005726</v>
      </c>
      <c r="N150">
        <f t="shared" si="53"/>
        <v>-0.94673862694274</v>
      </c>
      <c r="O150">
        <f t="shared" si="54"/>
        <v>-0.32200306249254</v>
      </c>
      <c r="P150">
        <f t="shared" si="55"/>
        <v>-0.327844478421645</v>
      </c>
      <c r="Q150">
        <f t="shared" si="56"/>
        <v>-0.023014439765625</v>
      </c>
      <c r="R150">
        <f t="shared" si="57"/>
        <v>1.00052966443773</v>
      </c>
      <c r="S150">
        <f t="shared" si="58"/>
        <v>-13.22138601</v>
      </c>
      <c r="T150">
        <f t="shared" si="59"/>
        <v>42.8049480122546</v>
      </c>
      <c r="U150">
        <f t="shared" si="60"/>
        <v>5.67300017680642</v>
      </c>
      <c r="V150">
        <f t="shared" si="61"/>
        <v>-0.937692830193578</v>
      </c>
      <c r="W150">
        <f t="shared" si="62"/>
        <v>-0.137906103780033</v>
      </c>
      <c r="X150">
        <f t="shared" si="63"/>
        <v>-0.13834700613513</v>
      </c>
    </row>
    <row r="151" spans="3:24">
      <c r="C151" s="2">
        <v>1186</v>
      </c>
      <c r="D151" s="2">
        <v>1411</v>
      </c>
      <c r="E151" s="4">
        <f t="shared" si="45"/>
        <v>-19.1507721056103</v>
      </c>
      <c r="F151" s="4">
        <f t="shared" si="64"/>
        <v>148.364408720531</v>
      </c>
      <c r="G151">
        <f t="shared" si="46"/>
        <v>-0.158203125</v>
      </c>
      <c r="H151">
        <f t="shared" si="47"/>
        <v>-0.3779296875</v>
      </c>
      <c r="I151">
        <f t="shared" si="48"/>
        <v>-0.0578349882421875</v>
      </c>
      <c r="J151">
        <f t="shared" si="49"/>
        <v>1.00335224014511</v>
      </c>
      <c r="K151">
        <f t="shared" si="50"/>
        <v>-13.22138601</v>
      </c>
      <c r="L151">
        <f t="shared" si="51"/>
        <v>42.70126204</v>
      </c>
      <c r="M151">
        <f t="shared" si="52"/>
        <v>5.66603442681613</v>
      </c>
      <c r="N151">
        <f t="shared" si="53"/>
        <v>-0.944658580183869</v>
      </c>
      <c r="O151">
        <f t="shared" si="54"/>
        <v>-0.328055127813903</v>
      </c>
      <c r="P151">
        <f t="shared" si="55"/>
        <v>-0.334244027541988</v>
      </c>
      <c r="Q151">
        <f t="shared" si="56"/>
        <v>-0.024209995078125</v>
      </c>
      <c r="R151">
        <f t="shared" si="57"/>
        <v>1.00058612386168</v>
      </c>
      <c r="S151">
        <f t="shared" si="58"/>
        <v>-13.22138601</v>
      </c>
      <c r="T151">
        <f t="shared" si="59"/>
        <v>42.808882206885</v>
      </c>
      <c r="U151">
        <f t="shared" si="60"/>
        <v>5.67608286718291</v>
      </c>
      <c r="V151">
        <f t="shared" si="61"/>
        <v>-0.934610139817088</v>
      </c>
      <c r="W151">
        <f t="shared" si="62"/>
        <v>-0.145468479271595</v>
      </c>
      <c r="X151">
        <f t="shared" si="63"/>
        <v>-0.1459864721558</v>
      </c>
    </row>
    <row r="152" spans="3:24">
      <c r="C152" s="2">
        <v>1148</v>
      </c>
      <c r="D152" s="2">
        <v>1394</v>
      </c>
      <c r="E152" s="4">
        <f t="shared" si="45"/>
        <v>-18.2623901852096</v>
      </c>
      <c r="F152" s="4">
        <f t="shared" si="64"/>
        <v>146.348968112428</v>
      </c>
      <c r="G152">
        <f t="shared" si="46"/>
        <v>-0.12109375</v>
      </c>
      <c r="H152">
        <f t="shared" si="47"/>
        <v>-0.361328125</v>
      </c>
      <c r="I152">
        <f t="shared" si="48"/>
        <v>-0.055294433203125</v>
      </c>
      <c r="J152">
        <f t="shared" si="49"/>
        <v>1.00306419670202</v>
      </c>
      <c r="K152">
        <f t="shared" si="50"/>
        <v>-13.22138601</v>
      </c>
      <c r="L152">
        <f t="shared" si="51"/>
        <v>42.70126204</v>
      </c>
      <c r="M152">
        <f t="shared" si="52"/>
        <v>5.66106162452837</v>
      </c>
      <c r="N152">
        <f t="shared" si="53"/>
        <v>-0.949631382471632</v>
      </c>
      <c r="O152">
        <f t="shared" si="54"/>
        <v>-0.313369171146455</v>
      </c>
      <c r="P152">
        <f t="shared" si="55"/>
        <v>-0.318738838015804</v>
      </c>
      <c r="Q152">
        <f t="shared" si="56"/>
        <v>-0.01853110734375</v>
      </c>
      <c r="R152">
        <f t="shared" si="57"/>
        <v>1.00034340193939</v>
      </c>
      <c r="S152">
        <f t="shared" si="58"/>
        <v>-13.22138601</v>
      </c>
      <c r="T152">
        <f t="shared" si="59"/>
        <v>42.799462277425</v>
      </c>
      <c r="U152">
        <f t="shared" si="60"/>
        <v>5.66688589660098</v>
      </c>
      <c r="V152">
        <f t="shared" si="61"/>
        <v>-0.943807110399023</v>
      </c>
      <c r="W152">
        <f t="shared" si="62"/>
        <v>-0.11058376440276</v>
      </c>
      <c r="X152">
        <f t="shared" si="63"/>
        <v>-0.110810397666002</v>
      </c>
    </row>
    <row r="153" spans="3:24">
      <c r="C153" s="2">
        <v>1132</v>
      </c>
      <c r="D153" s="2">
        <v>1364</v>
      </c>
      <c r="E153" s="4">
        <f t="shared" si="45"/>
        <v>-16.7111588761312</v>
      </c>
      <c r="F153" s="4">
        <f t="shared" si="64"/>
        <v>145.470608463055</v>
      </c>
      <c r="G153">
        <f t="shared" si="46"/>
        <v>-0.10546875</v>
      </c>
      <c r="H153">
        <f t="shared" si="47"/>
        <v>-0.33203125</v>
      </c>
      <c r="I153">
        <f t="shared" si="48"/>
        <v>-0.05081110078125</v>
      </c>
      <c r="J153">
        <f t="shared" si="49"/>
        <v>1.00258744440288</v>
      </c>
      <c r="K153">
        <f t="shared" si="50"/>
        <v>-13.22138601</v>
      </c>
      <c r="L153">
        <f t="shared" si="51"/>
        <v>42.70126204</v>
      </c>
      <c r="M153">
        <f t="shared" si="52"/>
        <v>5.65292649640462</v>
      </c>
      <c r="N153">
        <f t="shared" si="53"/>
        <v>-0.957766510595385</v>
      </c>
      <c r="O153">
        <f t="shared" si="54"/>
        <v>-0.287547059073711</v>
      </c>
      <c r="P153">
        <f t="shared" si="55"/>
        <v>-0.291664744212365</v>
      </c>
      <c r="Q153">
        <f t="shared" si="56"/>
        <v>-0.01613999671875</v>
      </c>
      <c r="R153">
        <f t="shared" si="57"/>
        <v>1.00026049949408</v>
      </c>
      <c r="S153">
        <f t="shared" si="58"/>
        <v>-13.22138601</v>
      </c>
      <c r="T153">
        <f t="shared" si="59"/>
        <v>42.7839453511819</v>
      </c>
      <c r="U153">
        <f t="shared" si="60"/>
        <v>5.65728889849008</v>
      </c>
      <c r="V153">
        <f t="shared" si="61"/>
        <v>-0.953404108509916</v>
      </c>
      <c r="W153">
        <f t="shared" si="62"/>
        <v>-0.0953351224938973</v>
      </c>
      <c r="X153">
        <f t="shared" si="63"/>
        <v>-0.095480129767773</v>
      </c>
    </row>
    <row r="154" spans="3:24">
      <c r="C154" s="2">
        <v>1124</v>
      </c>
      <c r="D154" s="2">
        <v>1355</v>
      </c>
      <c r="E154" s="4">
        <f t="shared" si="45"/>
        <v>-16.2496025126922</v>
      </c>
      <c r="F154" s="4">
        <f t="shared" si="64"/>
        <v>145.049576184808</v>
      </c>
      <c r="G154">
        <f t="shared" si="46"/>
        <v>-0.09765625</v>
      </c>
      <c r="H154">
        <f t="shared" si="47"/>
        <v>-0.3232421875</v>
      </c>
      <c r="I154">
        <f t="shared" si="48"/>
        <v>-0.0494661010546875</v>
      </c>
      <c r="J154">
        <f t="shared" si="49"/>
        <v>1.00245227505384</v>
      </c>
      <c r="K154">
        <f t="shared" si="50"/>
        <v>-13.22138601</v>
      </c>
      <c r="L154">
        <f t="shared" si="51"/>
        <v>42.70126204</v>
      </c>
      <c r="M154">
        <f t="shared" si="52"/>
        <v>5.65064121133395</v>
      </c>
      <c r="N154">
        <f t="shared" si="53"/>
        <v>-0.960051795666049</v>
      </c>
      <c r="O154">
        <f t="shared" si="54"/>
        <v>-0.27982235371463</v>
      </c>
      <c r="P154">
        <f t="shared" si="55"/>
        <v>-0.283609065986823</v>
      </c>
      <c r="Q154">
        <f t="shared" si="56"/>
        <v>-0.01494444140625</v>
      </c>
      <c r="R154">
        <f t="shared" si="57"/>
        <v>1.00022333632894</v>
      </c>
      <c r="S154">
        <f t="shared" si="58"/>
        <v>-13.22138601</v>
      </c>
      <c r="T154">
        <f t="shared" si="59"/>
        <v>42.7795625896384</v>
      </c>
      <c r="U154">
        <f t="shared" si="60"/>
        <v>5.65436725670651</v>
      </c>
      <c r="V154">
        <f t="shared" si="61"/>
        <v>-0.956325750293486</v>
      </c>
      <c r="W154">
        <f t="shared" si="62"/>
        <v>-0.0880176850646813</v>
      </c>
      <c r="X154">
        <f t="shared" si="63"/>
        <v>-0.0881317302551909</v>
      </c>
    </row>
    <row r="155" spans="3:24">
      <c r="C155" s="2">
        <v>1099</v>
      </c>
      <c r="D155" s="2">
        <v>1364</v>
      </c>
      <c r="E155" s="4">
        <f t="shared" si="45"/>
        <v>-16.7111588761312</v>
      </c>
      <c r="F155" s="4">
        <f t="shared" si="64"/>
        <v>143.794527273816</v>
      </c>
      <c r="G155">
        <f t="shared" si="46"/>
        <v>-0.0732421875</v>
      </c>
      <c r="H155">
        <f t="shared" si="47"/>
        <v>-0.33203125</v>
      </c>
      <c r="I155">
        <f t="shared" si="48"/>
        <v>-0.05081110078125</v>
      </c>
      <c r="J155">
        <f t="shared" si="49"/>
        <v>1.00258744440288</v>
      </c>
      <c r="K155">
        <f t="shared" si="50"/>
        <v>-13.22138601</v>
      </c>
      <c r="L155">
        <f t="shared" si="51"/>
        <v>42.70126204</v>
      </c>
      <c r="M155">
        <f t="shared" si="52"/>
        <v>5.65292649640462</v>
      </c>
      <c r="N155">
        <f t="shared" si="53"/>
        <v>-0.957766510595385</v>
      </c>
      <c r="O155">
        <f t="shared" si="54"/>
        <v>-0.287547059073711</v>
      </c>
      <c r="P155">
        <f t="shared" si="55"/>
        <v>-0.291664744212365</v>
      </c>
      <c r="Q155">
        <f t="shared" si="56"/>
        <v>-0.0112083310546875</v>
      </c>
      <c r="R155">
        <f t="shared" si="57"/>
        <v>1.00012562668503</v>
      </c>
      <c r="S155">
        <f t="shared" si="58"/>
        <v>-13.22138601</v>
      </c>
      <c r="T155">
        <f t="shared" si="59"/>
        <v>42.7839453511819</v>
      </c>
      <c r="U155">
        <f t="shared" si="60"/>
        <v>5.65502611786654</v>
      </c>
      <c r="V155">
        <f t="shared" si="61"/>
        <v>-0.955666889133457</v>
      </c>
      <c r="W155">
        <f t="shared" si="62"/>
        <v>-0.0661785930041937</v>
      </c>
      <c r="X155">
        <f t="shared" si="63"/>
        <v>-0.0662269944848055</v>
      </c>
    </row>
    <row r="156" spans="3:24">
      <c r="C156" s="2">
        <v>1032</v>
      </c>
      <c r="D156" s="2">
        <v>1376</v>
      </c>
      <c r="E156" s="4">
        <f t="shared" si="45"/>
        <v>-17.3292387040881</v>
      </c>
      <c r="F156" s="4">
        <f t="shared" si="64"/>
        <v>140.406003463245</v>
      </c>
      <c r="G156">
        <f t="shared" si="46"/>
        <v>-0.0078125</v>
      </c>
      <c r="H156">
        <f t="shared" si="47"/>
        <v>-0.34375</v>
      </c>
      <c r="I156">
        <f t="shared" si="48"/>
        <v>-0.05260443375</v>
      </c>
      <c r="J156">
        <f t="shared" si="49"/>
        <v>1.00277331065133</v>
      </c>
      <c r="K156">
        <f t="shared" si="50"/>
        <v>-13.22138601</v>
      </c>
      <c r="L156">
        <f t="shared" si="51"/>
        <v>42.70126204</v>
      </c>
      <c r="M156">
        <f t="shared" si="52"/>
        <v>5.65608408567331</v>
      </c>
      <c r="N156">
        <f t="shared" si="53"/>
        <v>-0.954608921326694</v>
      </c>
      <c r="O156">
        <f t="shared" si="54"/>
        <v>-0.297862060899818</v>
      </c>
      <c r="P156">
        <f t="shared" si="55"/>
        <v>-0.302452272250372</v>
      </c>
      <c r="Q156">
        <f t="shared" si="56"/>
        <v>-0.0011955553125</v>
      </c>
      <c r="R156">
        <f t="shared" si="57"/>
        <v>1.00000142935251</v>
      </c>
      <c r="S156">
        <f t="shared" si="58"/>
        <v>-13.22138601</v>
      </c>
      <c r="T156">
        <f t="shared" si="59"/>
        <v>42.7899838473235</v>
      </c>
      <c r="U156">
        <f t="shared" si="60"/>
        <v>5.65610805235386</v>
      </c>
      <c r="V156">
        <f t="shared" si="61"/>
        <v>-0.954584954646138</v>
      </c>
      <c r="W156">
        <f t="shared" si="62"/>
        <v>-0.00708603790617546</v>
      </c>
      <c r="X156">
        <f t="shared" si="63"/>
        <v>-0.00708609720812576</v>
      </c>
    </row>
    <row r="157" spans="3:24">
      <c r="C157" s="2">
        <v>1007</v>
      </c>
      <c r="D157" s="2">
        <v>1391</v>
      </c>
      <c r="E157" s="4">
        <f t="shared" si="45"/>
        <v>-18.1063440697334</v>
      </c>
      <c r="F157" s="4">
        <f t="shared" si="64"/>
        <v>139.133044951735</v>
      </c>
      <c r="G157">
        <f t="shared" si="46"/>
        <v>0.0166015625</v>
      </c>
      <c r="H157">
        <f t="shared" si="47"/>
        <v>-0.3583984375</v>
      </c>
      <c r="I157">
        <f t="shared" si="48"/>
        <v>-0.0548460999609375</v>
      </c>
      <c r="J157">
        <f t="shared" si="49"/>
        <v>1.00301470847041</v>
      </c>
      <c r="K157">
        <f t="shared" si="50"/>
        <v>-13.22138601</v>
      </c>
      <c r="L157">
        <f t="shared" si="51"/>
        <v>42.70126204</v>
      </c>
      <c r="M157">
        <f t="shared" si="52"/>
        <v>5.66021168081691</v>
      </c>
      <c r="N157">
        <f t="shared" si="53"/>
        <v>-0.950481326183088</v>
      </c>
      <c r="O157">
        <f t="shared" si="54"/>
        <v>-0.310781673489988</v>
      </c>
      <c r="P157">
        <f t="shared" si="55"/>
        <v>-0.316015319515798</v>
      </c>
      <c r="Q157">
        <f t="shared" si="56"/>
        <v>0.0025405550390625</v>
      </c>
      <c r="R157">
        <f t="shared" si="57"/>
        <v>1.00000645441991</v>
      </c>
      <c r="S157">
        <f t="shared" si="58"/>
        <v>-13.22138601</v>
      </c>
      <c r="T157">
        <f t="shared" si="59"/>
        <v>42.7978472885772</v>
      </c>
      <c r="U157">
        <f t="shared" si="60"/>
        <v>5.66032048690638</v>
      </c>
      <c r="V157">
        <f t="shared" si="61"/>
        <v>-0.950372520093617</v>
      </c>
      <c r="W157">
        <f t="shared" si="62"/>
        <v>0.0151306426738452</v>
      </c>
      <c r="X157">
        <f t="shared" si="63"/>
        <v>0.0151312200590089</v>
      </c>
    </row>
    <row r="158" spans="3:24">
      <c r="C158" s="2">
        <v>1022</v>
      </c>
      <c r="D158" s="2">
        <v>1371</v>
      </c>
      <c r="E158" s="4">
        <f t="shared" si="45"/>
        <v>-17.0713263877835</v>
      </c>
      <c r="F158" s="4">
        <f t="shared" si="64"/>
        <v>139.898171176948</v>
      </c>
      <c r="G158">
        <f t="shared" si="46"/>
        <v>0.001953125</v>
      </c>
      <c r="H158">
        <f t="shared" si="47"/>
        <v>-0.3388671875</v>
      </c>
      <c r="I158">
        <f t="shared" si="48"/>
        <v>-0.0518572116796875</v>
      </c>
      <c r="J158">
        <f t="shared" si="49"/>
        <v>1.00269508298535</v>
      </c>
      <c r="K158">
        <f t="shared" si="50"/>
        <v>-13.22138601</v>
      </c>
      <c r="L158">
        <f t="shared" si="51"/>
        <v>42.70126204</v>
      </c>
      <c r="M158">
        <f t="shared" si="52"/>
        <v>5.65475295972703</v>
      </c>
      <c r="N158">
        <f t="shared" si="53"/>
        <v>-0.955940047272975</v>
      </c>
      <c r="O158">
        <f t="shared" si="54"/>
        <v>-0.293561962828536</v>
      </c>
      <c r="P158">
        <f t="shared" si="55"/>
        <v>-0.297950853149413</v>
      </c>
      <c r="Q158">
        <f t="shared" si="56"/>
        <v>0.000298888828125</v>
      </c>
      <c r="R158">
        <f t="shared" si="57"/>
        <v>1.00000008933453</v>
      </c>
      <c r="S158">
        <f t="shared" si="58"/>
        <v>-13.22138601</v>
      </c>
      <c r="T158">
        <f t="shared" si="59"/>
        <v>42.7874406660197</v>
      </c>
      <c r="U158">
        <f t="shared" si="60"/>
        <v>5.65475446944814</v>
      </c>
      <c r="V158">
        <f t="shared" si="61"/>
        <v>-0.955938537551859</v>
      </c>
      <c r="W158">
        <f t="shared" si="62"/>
        <v>0.00177724730007543</v>
      </c>
      <c r="X158">
        <f t="shared" si="63"/>
        <v>0.00177724823568134</v>
      </c>
    </row>
    <row r="159" spans="3:24">
      <c r="C159" s="2">
        <v>1027</v>
      </c>
      <c r="D159" s="2">
        <v>1352</v>
      </c>
      <c r="E159" s="4">
        <f t="shared" si="45"/>
        <v>-16.0961197854089</v>
      </c>
      <c r="F159" s="4">
        <f t="shared" si="64"/>
        <v>140.151404534394</v>
      </c>
      <c r="G159">
        <f t="shared" si="46"/>
        <v>-0.0029296875</v>
      </c>
      <c r="H159">
        <f t="shared" si="47"/>
        <v>-0.3203125</v>
      </c>
      <c r="I159">
        <f t="shared" si="48"/>
        <v>-0.0490177678125</v>
      </c>
      <c r="J159">
        <f t="shared" si="49"/>
        <v>1.00240802438269</v>
      </c>
      <c r="K159">
        <f t="shared" si="50"/>
        <v>-13.22138601</v>
      </c>
      <c r="L159">
        <f t="shared" si="51"/>
        <v>42.70126204</v>
      </c>
      <c r="M159">
        <f t="shared" si="52"/>
        <v>5.64989507459841</v>
      </c>
      <c r="N159">
        <f t="shared" si="53"/>
        <v>-0.960797932401587</v>
      </c>
      <c r="O159">
        <f t="shared" si="54"/>
        <v>-0.277249586280728</v>
      </c>
      <c r="P159">
        <f t="shared" si="55"/>
        <v>-0.280930287050788</v>
      </c>
      <c r="Q159">
        <f t="shared" si="56"/>
        <v>-0.0004483332421875</v>
      </c>
      <c r="R159">
        <f t="shared" si="57"/>
        <v>1.0000002010027</v>
      </c>
      <c r="S159">
        <f t="shared" si="58"/>
        <v>-13.22138601</v>
      </c>
      <c r="T159">
        <f t="shared" si="59"/>
        <v>42.7781293730928</v>
      </c>
      <c r="U159">
        <f t="shared" si="60"/>
        <v>5.64989842914873</v>
      </c>
      <c r="V159">
        <f t="shared" si="61"/>
        <v>-0.96079457785127</v>
      </c>
      <c r="W159">
        <f t="shared" si="62"/>
        <v>-0.00264250455224658</v>
      </c>
      <c r="X159">
        <f t="shared" si="63"/>
        <v>-0.00264250762761639</v>
      </c>
    </row>
    <row r="160" spans="3:24">
      <c r="C160" s="2">
        <v>1016</v>
      </c>
      <c r="D160" s="2">
        <v>1353</v>
      </c>
      <c r="E160" s="4">
        <f t="shared" si="45"/>
        <v>-16.147260478823</v>
      </c>
      <c r="F160" s="4">
        <f t="shared" si="64"/>
        <v>139.596931454576</v>
      </c>
      <c r="G160">
        <f t="shared" si="46"/>
        <v>0.0078125</v>
      </c>
      <c r="H160">
        <f t="shared" si="47"/>
        <v>-0.3212890625</v>
      </c>
      <c r="I160">
        <f t="shared" si="48"/>
        <v>-0.0491672122265625</v>
      </c>
      <c r="J160">
        <f t="shared" si="49"/>
        <v>1.00242272984093</v>
      </c>
      <c r="K160">
        <f t="shared" si="50"/>
        <v>-13.22138601</v>
      </c>
      <c r="L160">
        <f t="shared" si="51"/>
        <v>42.70126204</v>
      </c>
      <c r="M160">
        <f t="shared" si="52"/>
        <v>5.6501429229219</v>
      </c>
      <c r="N160">
        <f t="shared" si="53"/>
        <v>-0.960550084078096</v>
      </c>
      <c r="O160">
        <f t="shared" si="54"/>
        <v>-0.278107058482094</v>
      </c>
      <c r="P160">
        <f t="shared" si="55"/>
        <v>-0.281822860532618</v>
      </c>
      <c r="Q160">
        <f t="shared" si="56"/>
        <v>0.0011955553125</v>
      </c>
      <c r="R160">
        <f t="shared" si="57"/>
        <v>1.00000142935251</v>
      </c>
      <c r="S160">
        <f t="shared" si="58"/>
        <v>-13.22138601</v>
      </c>
      <c r="T160">
        <f t="shared" si="59"/>
        <v>42.7786055759776</v>
      </c>
      <c r="U160">
        <f t="shared" si="60"/>
        <v>5.6501666913674</v>
      </c>
      <c r="V160">
        <f t="shared" si="61"/>
        <v>-0.960526315632597</v>
      </c>
      <c r="W160">
        <f t="shared" si="62"/>
        <v>0.00703481520369467</v>
      </c>
      <c r="X160">
        <f t="shared" si="63"/>
        <v>0.00703487322887542</v>
      </c>
    </row>
    <row r="161" spans="3:24">
      <c r="C161" s="2">
        <v>1023</v>
      </c>
      <c r="D161" s="2">
        <v>1365</v>
      </c>
      <c r="E161" s="4">
        <f t="shared" si="45"/>
        <v>-16.7625473508825</v>
      </c>
      <c r="F161" s="4">
        <f t="shared" si="64"/>
        <v>139.948401246203</v>
      </c>
      <c r="G161">
        <f t="shared" si="46"/>
        <v>0.0009765625</v>
      </c>
      <c r="H161">
        <f t="shared" si="47"/>
        <v>-0.3330078125</v>
      </c>
      <c r="I161">
        <f t="shared" si="48"/>
        <v>-0.0509605451953125</v>
      </c>
      <c r="J161">
        <f t="shared" si="49"/>
        <v>1.00260268704681</v>
      </c>
      <c r="K161">
        <f t="shared" si="50"/>
        <v>-13.22138601</v>
      </c>
      <c r="L161">
        <f t="shared" si="51"/>
        <v>42.70126204</v>
      </c>
      <c r="M161">
        <f t="shared" si="52"/>
        <v>5.653184782002</v>
      </c>
      <c r="N161">
        <f t="shared" si="53"/>
        <v>-0.957508224998</v>
      </c>
      <c r="O161">
        <f t="shared" si="54"/>
        <v>-0.288405962249705</v>
      </c>
      <c r="P161">
        <f t="shared" si="55"/>
        <v>-0.292561642294353</v>
      </c>
      <c r="Q161">
        <f t="shared" si="56"/>
        <v>0.0001494444140625</v>
      </c>
      <c r="R161">
        <f t="shared" si="57"/>
        <v>1.00000002233363</v>
      </c>
      <c r="S161">
        <f t="shared" si="58"/>
        <v>-13.22138601</v>
      </c>
      <c r="T161">
        <f t="shared" si="59"/>
        <v>42.7844400390612</v>
      </c>
      <c r="U161">
        <f t="shared" si="60"/>
        <v>5.65318517028256</v>
      </c>
      <c r="V161">
        <f t="shared" si="61"/>
        <v>-0.957507836717439</v>
      </c>
      <c r="W161">
        <f t="shared" si="62"/>
        <v>0.000900568021956414</v>
      </c>
      <c r="X161">
        <f t="shared" si="63"/>
        <v>0.000900568143686652</v>
      </c>
    </row>
    <row r="162" spans="3:24">
      <c r="C162" s="2">
        <v>1013</v>
      </c>
      <c r="D162" s="2">
        <v>1357</v>
      </c>
      <c r="E162" s="4">
        <f t="shared" si="45"/>
        <v>-16.3520259632387</v>
      </c>
      <c r="F162" s="4">
        <f t="shared" si="64"/>
        <v>139.445184103981</v>
      </c>
      <c r="G162">
        <f t="shared" si="46"/>
        <v>0.0107421875</v>
      </c>
      <c r="H162">
        <f t="shared" si="47"/>
        <v>-0.3251953125</v>
      </c>
      <c r="I162">
        <f t="shared" si="48"/>
        <v>-0.0497649898828125</v>
      </c>
      <c r="J162">
        <f t="shared" si="49"/>
        <v>1.00248199932864</v>
      </c>
      <c r="K162">
        <f t="shared" si="50"/>
        <v>-13.22138601</v>
      </c>
      <c r="L162">
        <f t="shared" si="51"/>
        <v>42.70126204</v>
      </c>
      <c r="M162">
        <f t="shared" si="52"/>
        <v>5.65114296288079</v>
      </c>
      <c r="N162">
        <f t="shared" si="53"/>
        <v>-0.959550044119206</v>
      </c>
      <c r="O162">
        <f t="shared" si="54"/>
        <v>-0.281538119676234</v>
      </c>
      <c r="P162">
        <f t="shared" si="55"/>
        <v>-0.285396692430113</v>
      </c>
      <c r="Q162">
        <f t="shared" si="56"/>
        <v>0.0016438885546875</v>
      </c>
      <c r="R162">
        <f t="shared" si="57"/>
        <v>1.00000270236958</v>
      </c>
      <c r="S162">
        <f t="shared" si="58"/>
        <v>-13.22138601</v>
      </c>
      <c r="T162">
        <f t="shared" si="59"/>
        <v>42.7805257528308</v>
      </c>
      <c r="U162">
        <f t="shared" si="60"/>
        <v>5.65118794985324</v>
      </c>
      <c r="V162">
        <f t="shared" si="61"/>
        <v>-0.959505057146762</v>
      </c>
      <c r="W162">
        <f t="shared" si="62"/>
        <v>0.00968321279777702</v>
      </c>
      <c r="X162">
        <f t="shared" si="63"/>
        <v>0.00968336412794107</v>
      </c>
    </row>
    <row r="163" spans="3:24">
      <c r="C163" s="2">
        <v>1023</v>
      </c>
      <c r="D163" s="2">
        <v>1345</v>
      </c>
      <c r="E163" s="4">
        <f t="shared" si="45"/>
        <v>-15.7386932802352</v>
      </c>
      <c r="F163" s="4">
        <f t="shared" si="64"/>
        <v>139.948713593822</v>
      </c>
      <c r="G163">
        <f t="shared" si="46"/>
        <v>0.0009765625</v>
      </c>
      <c r="H163">
        <f t="shared" si="47"/>
        <v>-0.3134765625</v>
      </c>
      <c r="I163">
        <f t="shared" si="48"/>
        <v>-0.0479716569140625</v>
      </c>
      <c r="J163">
        <f t="shared" si="49"/>
        <v>1.00230633960828</v>
      </c>
      <c r="K163">
        <f t="shared" si="50"/>
        <v>-13.22138601</v>
      </c>
      <c r="L163">
        <f t="shared" si="51"/>
        <v>42.70126204</v>
      </c>
      <c r="M163">
        <f t="shared" si="52"/>
        <v>5.64818422336782</v>
      </c>
      <c r="N163">
        <f t="shared" si="53"/>
        <v>-0.962508783632176</v>
      </c>
      <c r="O163">
        <f t="shared" si="54"/>
        <v>-0.271250514157871</v>
      </c>
      <c r="P163">
        <f t="shared" si="55"/>
        <v>-0.27469201770161</v>
      </c>
      <c r="Q163">
        <f t="shared" si="56"/>
        <v>0.0001494444140625</v>
      </c>
      <c r="R163">
        <f t="shared" si="57"/>
        <v>1.00000002233363</v>
      </c>
      <c r="S163">
        <f t="shared" si="58"/>
        <v>-13.22138601</v>
      </c>
      <c r="T163">
        <f t="shared" si="59"/>
        <v>42.7748388814309</v>
      </c>
      <c r="U163">
        <f t="shared" si="60"/>
        <v>5.64818460896509</v>
      </c>
      <c r="V163">
        <f t="shared" si="61"/>
        <v>-0.962508398034909</v>
      </c>
      <c r="W163">
        <f t="shared" si="62"/>
        <v>0.000895116529793921</v>
      </c>
      <c r="X163">
        <f t="shared" si="63"/>
        <v>0.000895116649326871</v>
      </c>
    </row>
    <row r="164" spans="3:24">
      <c r="C164" s="2">
        <v>1011</v>
      </c>
      <c r="D164" s="2">
        <v>1335</v>
      </c>
      <c r="E164" s="4">
        <f t="shared" si="45"/>
        <v>-15.2297375296818</v>
      </c>
      <c r="F164" s="4">
        <f t="shared" si="64"/>
        <v>139.348571714275</v>
      </c>
      <c r="G164">
        <f t="shared" si="46"/>
        <v>0.0126953125</v>
      </c>
      <c r="H164">
        <f t="shared" si="47"/>
        <v>-0.3037109375</v>
      </c>
      <c r="I164">
        <f t="shared" si="48"/>
        <v>-0.0464772127734375</v>
      </c>
      <c r="J164">
        <f t="shared" si="49"/>
        <v>1.00216488071013</v>
      </c>
      <c r="K164">
        <f t="shared" si="50"/>
        <v>-13.22138601</v>
      </c>
      <c r="L164">
        <f t="shared" si="51"/>
        <v>42.70126204</v>
      </c>
      <c r="M164">
        <f t="shared" si="52"/>
        <v>5.64581272335122</v>
      </c>
      <c r="N164">
        <f t="shared" si="53"/>
        <v>-0.964880283648778</v>
      </c>
      <c r="O164">
        <f t="shared" si="54"/>
        <v>-0.262690004046316</v>
      </c>
      <c r="P164">
        <f t="shared" si="55"/>
        <v>-0.265809064107495</v>
      </c>
      <c r="Q164">
        <f t="shared" si="56"/>
        <v>0.0019427773828125</v>
      </c>
      <c r="R164">
        <f t="shared" si="57"/>
        <v>1.00000377438396</v>
      </c>
      <c r="S164">
        <f t="shared" si="58"/>
        <v>-13.22138601</v>
      </c>
      <c r="T164">
        <f t="shared" si="59"/>
        <v>42.7702680782259</v>
      </c>
      <c r="U164">
        <f t="shared" si="60"/>
        <v>5.64587508631083</v>
      </c>
      <c r="V164">
        <f t="shared" si="61"/>
        <v>-0.96481792068917</v>
      </c>
      <c r="W164">
        <f t="shared" si="62"/>
        <v>0.0113693234762764</v>
      </c>
      <c r="X164">
        <f t="shared" si="63"/>
        <v>0.0113695684265235</v>
      </c>
    </row>
    <row r="165" spans="3:24">
      <c r="C165" s="2">
        <v>993</v>
      </c>
      <c r="D165" s="2">
        <v>1319</v>
      </c>
      <c r="E165" s="4">
        <f t="shared" ref="E165:E228" si="65">P165*180/PI()</f>
        <v>-14.4192729353615</v>
      </c>
      <c r="F165" s="4">
        <f t="shared" si="64"/>
        <v>138.453314617082</v>
      </c>
      <c r="G165">
        <f t="shared" ref="G165:G228" si="66">(1024-C165)/1024</f>
        <v>0.0302734375</v>
      </c>
      <c r="H165">
        <f t="shared" ref="H165:H228" si="67">(1024-D165)/1024</f>
        <v>-0.2880859375</v>
      </c>
      <c r="I165">
        <f t="shared" ref="I165:I228" si="68">0.15303108*H165</f>
        <v>-0.0440861021484375</v>
      </c>
      <c r="J165">
        <f t="shared" ref="J165:J228" si="69">1+1.002198664*I165^2</f>
        <v>1.0019478576917</v>
      </c>
      <c r="K165">
        <f t="shared" ref="K165:K228" si="70">-13.22138601</f>
        <v>-13.22138601</v>
      </c>
      <c r="L165">
        <f t="shared" ref="L165:L228" si="71">42.70126204</f>
        <v>42.70126204</v>
      </c>
      <c r="M165">
        <f t="shared" ref="M165:M228" si="72">(-K165-(K165^2-4*J165*L165)^0.5)/2/J165</f>
        <v>5.64219355402076</v>
      </c>
      <c r="N165">
        <f t="shared" ref="N165:N228" si="73">M165-6.610693007</f>
        <v>-0.968499452979237</v>
      </c>
      <c r="O165">
        <f t="shared" ref="O165:O228" si="74">IF(H165&gt;=0,1,-1)*(1-N165^2)^0.5</f>
        <v>-0.249015681391592</v>
      </c>
      <c r="P165">
        <f t="shared" ref="P165:P228" si="75">ASIN(O165)</f>
        <v>-0.251663788465766</v>
      </c>
      <c r="Q165">
        <f t="shared" ref="Q165:Q228" si="76">0.15303108*G165</f>
        <v>0.0046327768359375</v>
      </c>
      <c r="R165">
        <f t="shared" ref="R165:R228" si="77">1+Q165^2</f>
        <v>1.00002146262121</v>
      </c>
      <c r="S165">
        <f t="shared" ref="S165:S228" si="78">-13.22138601</f>
        <v>-13.22138601</v>
      </c>
      <c r="T165">
        <f t="shared" ref="T165:T228" si="79">43.70126204-(COS(P165))^2</f>
        <v>42.7632708495789</v>
      </c>
      <c r="U165">
        <f t="shared" ref="U165:U228" si="80">(-S165-(S165^2-4*R165*T165)^0.5)/2/R165</f>
        <v>5.64254641343465</v>
      </c>
      <c r="V165">
        <f t="shared" ref="V165:V228" si="81">U165-6.610693007</f>
        <v>-0.968146593565351</v>
      </c>
      <c r="W165">
        <f t="shared" ref="W165:W228" si="82">IF(G165&gt;=0,1,-1)*(1-(V165/COS(P165))^2)^0.5</f>
        <v>0.0269914739562086</v>
      </c>
      <c r="X165">
        <f t="shared" ref="X165:X228" si="83">ASIN(W165)</f>
        <v>0.026994752424383</v>
      </c>
    </row>
    <row r="166" spans="3:24">
      <c r="C166" s="2">
        <v>1000</v>
      </c>
      <c r="D166" s="2">
        <v>1312</v>
      </c>
      <c r="E166" s="4">
        <f t="shared" si="65"/>
        <v>-14.0661218598262</v>
      </c>
      <c r="F166" s="4">
        <f t="shared" si="64"/>
        <v>138.804830546446</v>
      </c>
      <c r="G166">
        <f t="shared" si="66"/>
        <v>0.0234375</v>
      </c>
      <c r="H166">
        <f t="shared" si="67"/>
        <v>-0.28125</v>
      </c>
      <c r="I166">
        <f t="shared" si="68"/>
        <v>-0.04303999125</v>
      </c>
      <c r="J166">
        <f t="shared" si="69"/>
        <v>1.0018565137418</v>
      </c>
      <c r="K166">
        <f t="shared" si="70"/>
        <v>-13.22138601</v>
      </c>
      <c r="L166">
        <f t="shared" si="71"/>
        <v>42.70126204</v>
      </c>
      <c r="M166">
        <f t="shared" si="72"/>
        <v>5.64067711534174</v>
      </c>
      <c r="N166">
        <f t="shared" si="73"/>
        <v>-0.97001589165826</v>
      </c>
      <c r="O166">
        <f t="shared" si="74"/>
        <v>-0.24304149837102</v>
      </c>
      <c r="P166">
        <f t="shared" si="75"/>
        <v>-0.245500139440716</v>
      </c>
      <c r="Q166">
        <f t="shared" si="76"/>
        <v>0.0035866659375</v>
      </c>
      <c r="R166">
        <f t="shared" si="77"/>
        <v>1.00001286417255</v>
      </c>
      <c r="S166">
        <f t="shared" si="78"/>
        <v>-13.22138601</v>
      </c>
      <c r="T166">
        <f t="shared" si="79"/>
        <v>42.7603312099304</v>
      </c>
      <c r="U166">
        <f t="shared" si="80"/>
        <v>5.64088814661084</v>
      </c>
      <c r="V166">
        <f t="shared" si="81"/>
        <v>-0.969804860389162</v>
      </c>
      <c r="W166">
        <f t="shared" si="82"/>
        <v>0.0208581293592235</v>
      </c>
      <c r="X166">
        <f t="shared" si="83"/>
        <v>0.0208596420837842</v>
      </c>
    </row>
    <row r="167" spans="3:24">
      <c r="C167" s="2">
        <v>1017</v>
      </c>
      <c r="D167" s="2">
        <v>1320</v>
      </c>
      <c r="E167" s="4">
        <f t="shared" si="65"/>
        <v>-14.4697924829314</v>
      </c>
      <c r="F167" s="4">
        <f t="shared" si="64"/>
        <v>139.650574918762</v>
      </c>
      <c r="G167">
        <f t="shared" si="66"/>
        <v>0.0068359375</v>
      </c>
      <c r="H167">
        <f t="shared" si="67"/>
        <v>-0.2890625</v>
      </c>
      <c r="I167">
        <f t="shared" si="68"/>
        <v>-0.0442355465625</v>
      </c>
      <c r="J167">
        <f t="shared" si="69"/>
        <v>1.0019610858893</v>
      </c>
      <c r="K167">
        <f t="shared" si="70"/>
        <v>-13.22138601</v>
      </c>
      <c r="L167">
        <f t="shared" si="71"/>
        <v>42.70126204</v>
      </c>
      <c r="M167">
        <f t="shared" si="72"/>
        <v>5.64241349567803</v>
      </c>
      <c r="N167">
        <f t="shared" si="73"/>
        <v>-0.968279511321967</v>
      </c>
      <c r="O167">
        <f t="shared" si="74"/>
        <v>-0.249869541869538</v>
      </c>
      <c r="P167">
        <f t="shared" si="75"/>
        <v>-0.252545520907479</v>
      </c>
      <c r="Q167">
        <f t="shared" si="76"/>
        <v>0.0010461108984375</v>
      </c>
      <c r="R167">
        <f t="shared" si="77"/>
        <v>1.00000109434801</v>
      </c>
      <c r="S167">
        <f t="shared" si="78"/>
        <v>-13.22138601</v>
      </c>
      <c r="T167">
        <f t="shared" si="79"/>
        <v>42.7636968279541</v>
      </c>
      <c r="U167">
        <f t="shared" si="80"/>
        <v>5.64243150230159</v>
      </c>
      <c r="V167">
        <f t="shared" si="81"/>
        <v>-0.968261504698409</v>
      </c>
      <c r="W167">
        <f t="shared" si="82"/>
        <v>0.00609858035225802</v>
      </c>
      <c r="X167">
        <f t="shared" si="83"/>
        <v>0.00609861815665101</v>
      </c>
    </row>
    <row r="168" spans="3:24">
      <c r="C168" s="2">
        <v>988</v>
      </c>
      <c r="D168" s="2">
        <v>1338</v>
      </c>
      <c r="E168" s="4">
        <f t="shared" si="65"/>
        <v>-15.3822239348585</v>
      </c>
      <c r="F168" s="4">
        <f t="shared" si="64"/>
        <v>138.194306864652</v>
      </c>
      <c r="G168">
        <f t="shared" si="66"/>
        <v>0.03515625</v>
      </c>
      <c r="H168">
        <f t="shared" si="67"/>
        <v>-0.306640625</v>
      </c>
      <c r="I168">
        <f t="shared" si="68"/>
        <v>-0.046925546015625</v>
      </c>
      <c r="J168">
        <f t="shared" si="69"/>
        <v>1.00220684834209</v>
      </c>
      <c r="K168">
        <f t="shared" si="70"/>
        <v>-13.22138601</v>
      </c>
      <c r="L168">
        <f t="shared" si="71"/>
        <v>42.70126204</v>
      </c>
      <c r="M168">
        <f t="shared" si="72"/>
        <v>5.64651526015191</v>
      </c>
      <c r="N168">
        <f t="shared" si="73"/>
        <v>-0.964177746848093</v>
      </c>
      <c r="O168">
        <f t="shared" si="74"/>
        <v>-0.265256993278094</v>
      </c>
      <c r="P168">
        <f t="shared" si="75"/>
        <v>-0.268470453942359</v>
      </c>
      <c r="Q168">
        <f t="shared" si="76"/>
        <v>0.00537999890625</v>
      </c>
      <c r="R168">
        <f t="shared" si="77"/>
        <v>1.00002894438823</v>
      </c>
      <c r="S168">
        <f t="shared" si="78"/>
        <v>-13.22138601</v>
      </c>
      <c r="T168">
        <f t="shared" si="79"/>
        <v>42.7716233124829</v>
      </c>
      <c r="U168">
        <f t="shared" si="80"/>
        <v>5.64699403771665</v>
      </c>
      <c r="V168">
        <f t="shared" si="81"/>
        <v>-0.96369896928335</v>
      </c>
      <c r="W168">
        <f t="shared" si="82"/>
        <v>0.0315100738493767</v>
      </c>
      <c r="X168">
        <f t="shared" si="83"/>
        <v>0.0315152904924864</v>
      </c>
    </row>
    <row r="169" spans="3:24">
      <c r="C169" s="2">
        <v>971</v>
      </c>
      <c r="D169" s="2">
        <v>1353</v>
      </c>
      <c r="E169" s="4">
        <f t="shared" si="65"/>
        <v>-16.147260478823</v>
      </c>
      <c r="F169" s="4">
        <f t="shared" si="64"/>
        <v>137.329095623527</v>
      </c>
      <c r="G169">
        <f t="shared" si="66"/>
        <v>0.0517578125</v>
      </c>
      <c r="H169">
        <f t="shared" si="67"/>
        <v>-0.3212890625</v>
      </c>
      <c r="I169">
        <f t="shared" si="68"/>
        <v>-0.0491672122265625</v>
      </c>
      <c r="J169">
        <f t="shared" si="69"/>
        <v>1.00242272984093</v>
      </c>
      <c r="K169">
        <f t="shared" si="70"/>
        <v>-13.22138601</v>
      </c>
      <c r="L169">
        <f t="shared" si="71"/>
        <v>42.70126204</v>
      </c>
      <c r="M169">
        <f t="shared" si="72"/>
        <v>5.6501429229219</v>
      </c>
      <c r="N169">
        <f t="shared" si="73"/>
        <v>-0.960550084078096</v>
      </c>
      <c r="O169">
        <f t="shared" si="74"/>
        <v>-0.278107058482094</v>
      </c>
      <c r="P169">
        <f t="shared" si="75"/>
        <v>-0.281822860532618</v>
      </c>
      <c r="Q169">
        <f t="shared" si="76"/>
        <v>0.0079205539453125</v>
      </c>
      <c r="R169">
        <f t="shared" si="77"/>
        <v>1.0000627351748</v>
      </c>
      <c r="S169">
        <f t="shared" si="78"/>
        <v>-13.22138601</v>
      </c>
      <c r="T169">
        <f t="shared" si="79"/>
        <v>42.7786055759776</v>
      </c>
      <c r="U169">
        <f t="shared" si="80"/>
        <v>5.6511863996945</v>
      </c>
      <c r="V169">
        <f t="shared" si="81"/>
        <v>-0.959506607305497</v>
      </c>
      <c r="W169">
        <f t="shared" si="82"/>
        <v>0.0465991939666969</v>
      </c>
      <c r="X169">
        <f t="shared" si="83"/>
        <v>0.0466160753753877</v>
      </c>
    </row>
    <row r="170" spans="3:24">
      <c r="C170" s="2">
        <v>964</v>
      </c>
      <c r="D170" s="2">
        <v>1362</v>
      </c>
      <c r="E170" s="4">
        <f t="shared" si="65"/>
        <v>-16.6084451810954</v>
      </c>
      <c r="F170" s="4">
        <f t="shared" si="64"/>
        <v>136.96748340502</v>
      </c>
      <c r="G170">
        <f t="shared" si="66"/>
        <v>0.05859375</v>
      </c>
      <c r="H170">
        <f t="shared" si="67"/>
        <v>-0.330078125</v>
      </c>
      <c r="I170">
        <f t="shared" si="68"/>
        <v>-0.050512211953125</v>
      </c>
      <c r="J170">
        <f t="shared" si="69"/>
        <v>1.00255709341144</v>
      </c>
      <c r="K170">
        <f t="shared" si="70"/>
        <v>-13.22138601</v>
      </c>
      <c r="L170">
        <f t="shared" si="71"/>
        <v>42.70126204</v>
      </c>
      <c r="M170">
        <f t="shared" si="72"/>
        <v>5.65241255232912</v>
      </c>
      <c r="N170">
        <f t="shared" si="73"/>
        <v>-0.958280454670875</v>
      </c>
      <c r="O170">
        <f t="shared" si="74"/>
        <v>-0.285829617422303</v>
      </c>
      <c r="P170">
        <f t="shared" si="75"/>
        <v>-0.2898720520471</v>
      </c>
      <c r="Q170">
        <f t="shared" si="76"/>
        <v>0.00896666484375</v>
      </c>
      <c r="R170">
        <f t="shared" si="77"/>
        <v>1.00008040107842</v>
      </c>
      <c r="S170">
        <f t="shared" si="78"/>
        <v>-13.22138601</v>
      </c>
      <c r="T170">
        <f t="shared" si="79"/>
        <v>42.7829606101958</v>
      </c>
      <c r="U170">
        <f t="shared" si="80"/>
        <v>5.65375445913931</v>
      </c>
      <c r="V170">
        <f t="shared" si="81"/>
        <v>-0.956938547860691</v>
      </c>
      <c r="W170">
        <f t="shared" si="82"/>
        <v>0.0529026916595584</v>
      </c>
      <c r="X170">
        <f t="shared" si="83"/>
        <v>0.0529273992037599</v>
      </c>
    </row>
    <row r="171" spans="3:24">
      <c r="C171" s="2">
        <v>962</v>
      </c>
      <c r="D171" s="2">
        <v>1353</v>
      </c>
      <c r="E171" s="4">
        <f t="shared" si="65"/>
        <v>-16.147260478823</v>
      </c>
      <c r="F171" s="4">
        <f t="shared" si="64"/>
        <v>136.87492155349</v>
      </c>
      <c r="G171">
        <f t="shared" si="66"/>
        <v>0.060546875</v>
      </c>
      <c r="H171">
        <f t="shared" si="67"/>
        <v>-0.3212890625</v>
      </c>
      <c r="I171">
        <f t="shared" si="68"/>
        <v>-0.0491672122265625</v>
      </c>
      <c r="J171">
        <f t="shared" si="69"/>
        <v>1.00242272984093</v>
      </c>
      <c r="K171">
        <f t="shared" si="70"/>
        <v>-13.22138601</v>
      </c>
      <c r="L171">
        <f t="shared" si="71"/>
        <v>42.70126204</v>
      </c>
      <c r="M171">
        <f t="shared" si="72"/>
        <v>5.6501429229219</v>
      </c>
      <c r="N171">
        <f t="shared" si="73"/>
        <v>-0.960550084078096</v>
      </c>
      <c r="O171">
        <f t="shared" si="74"/>
        <v>-0.278107058482094</v>
      </c>
      <c r="P171">
        <f t="shared" si="75"/>
        <v>-0.281822860532618</v>
      </c>
      <c r="Q171">
        <f t="shared" si="76"/>
        <v>0.009265553671875</v>
      </c>
      <c r="R171">
        <f t="shared" si="77"/>
        <v>1.00008585048485</v>
      </c>
      <c r="S171">
        <f t="shared" si="78"/>
        <v>-13.22138601</v>
      </c>
      <c r="T171">
        <f t="shared" si="79"/>
        <v>42.7786055759776</v>
      </c>
      <c r="U171">
        <f t="shared" si="80"/>
        <v>5.65157135282128</v>
      </c>
      <c r="V171">
        <f t="shared" si="81"/>
        <v>-0.959121654178721</v>
      </c>
      <c r="W171">
        <f t="shared" si="82"/>
        <v>0.0545158687518835</v>
      </c>
      <c r="X171">
        <f t="shared" si="83"/>
        <v>0.0545429082747058</v>
      </c>
    </row>
    <row r="172" spans="5:24">
      <c r="E172" s="4" t="e">
        <f t="shared" si="65"/>
        <v>#NUM!</v>
      </c>
      <c r="F172" s="4" t="e">
        <f t="shared" si="64"/>
        <v>#NUM!</v>
      </c>
      <c r="G172">
        <f t="shared" si="66"/>
        <v>1</v>
      </c>
      <c r="H172">
        <f t="shared" si="67"/>
        <v>1</v>
      </c>
      <c r="I172">
        <f t="shared" si="68"/>
        <v>0.15303108</v>
      </c>
      <c r="J172">
        <f t="shared" si="69"/>
        <v>1.02347000088402</v>
      </c>
      <c r="K172">
        <f t="shared" si="70"/>
        <v>-13.22138601</v>
      </c>
      <c r="L172">
        <f t="shared" si="71"/>
        <v>42.70126204</v>
      </c>
      <c r="M172" t="e">
        <f t="shared" si="72"/>
        <v>#NUM!</v>
      </c>
      <c r="N172" t="e">
        <f t="shared" si="73"/>
        <v>#NUM!</v>
      </c>
      <c r="O172" t="e">
        <f t="shared" si="74"/>
        <v>#NUM!</v>
      </c>
      <c r="P172" t="e">
        <f t="shared" si="75"/>
        <v>#NUM!</v>
      </c>
      <c r="Q172">
        <f t="shared" si="76"/>
        <v>0.15303108</v>
      </c>
      <c r="R172">
        <f t="shared" si="77"/>
        <v>1.02341851144597</v>
      </c>
      <c r="S172">
        <f t="shared" si="78"/>
        <v>-13.22138601</v>
      </c>
      <c r="T172" t="e">
        <f t="shared" si="79"/>
        <v>#NUM!</v>
      </c>
      <c r="U172" t="e">
        <f t="shared" si="80"/>
        <v>#NUM!</v>
      </c>
      <c r="V172" t="e">
        <f t="shared" si="81"/>
        <v>#NUM!</v>
      </c>
      <c r="W172" t="e">
        <f t="shared" si="82"/>
        <v>#NUM!</v>
      </c>
      <c r="X172" t="e">
        <f t="shared" si="83"/>
        <v>#NUM!</v>
      </c>
    </row>
    <row r="173" spans="3:24">
      <c r="C173" s="2">
        <v>841</v>
      </c>
      <c r="D173" s="2">
        <v>1388</v>
      </c>
      <c r="E173" s="4">
        <f t="shared" si="65"/>
        <v>-17.9505096015103</v>
      </c>
      <c r="F173" s="4">
        <f t="shared" si="64"/>
        <v>130.615453716617</v>
      </c>
      <c r="G173">
        <f t="shared" si="66"/>
        <v>0.1787109375</v>
      </c>
      <c r="H173">
        <f t="shared" si="67"/>
        <v>-0.35546875</v>
      </c>
      <c r="I173">
        <f t="shared" si="68"/>
        <v>-0.05439776671875</v>
      </c>
      <c r="J173">
        <f t="shared" si="69"/>
        <v>1.00296562312806</v>
      </c>
      <c r="K173">
        <f t="shared" si="70"/>
        <v>-13.22138601</v>
      </c>
      <c r="L173">
        <f t="shared" si="71"/>
        <v>42.70126204</v>
      </c>
      <c r="M173">
        <f t="shared" si="72"/>
        <v>5.65936992579593</v>
      </c>
      <c r="N173">
        <f t="shared" si="73"/>
        <v>-0.951323081204065</v>
      </c>
      <c r="O173">
        <f t="shared" si="74"/>
        <v>-0.308195384729239</v>
      </c>
      <c r="P173">
        <f t="shared" si="75"/>
        <v>-0.31329549495721</v>
      </c>
      <c r="Q173">
        <f t="shared" si="76"/>
        <v>0.0273483277734375</v>
      </c>
      <c r="R173">
        <f t="shared" si="77"/>
        <v>1.000747931032</v>
      </c>
      <c r="S173">
        <f t="shared" si="78"/>
        <v>-13.22138601</v>
      </c>
      <c r="T173">
        <f t="shared" si="79"/>
        <v>42.7962464351684</v>
      </c>
      <c r="U173">
        <f t="shared" si="80"/>
        <v>5.67210226485379</v>
      </c>
      <c r="V173">
        <f t="shared" si="81"/>
        <v>-0.938590742146213</v>
      </c>
      <c r="W173">
        <f t="shared" si="82"/>
        <v>0.163059859800294</v>
      </c>
      <c r="X173">
        <f t="shared" si="83"/>
        <v>0.163791231450832</v>
      </c>
    </row>
    <row r="174" spans="3:24">
      <c r="C174" s="2">
        <v>825</v>
      </c>
      <c r="D174" s="2">
        <v>1366</v>
      </c>
      <c r="E174" s="4">
        <f t="shared" si="65"/>
        <v>-16.8139570244747</v>
      </c>
      <c r="F174" s="4">
        <f t="shared" si="64"/>
        <v>129.857098155057</v>
      </c>
      <c r="G174">
        <f t="shared" si="66"/>
        <v>0.1943359375</v>
      </c>
      <c r="H174">
        <f t="shared" si="67"/>
        <v>-0.333984375</v>
      </c>
      <c r="I174">
        <f t="shared" si="68"/>
        <v>-0.051109989609375</v>
      </c>
      <c r="J174">
        <f t="shared" si="69"/>
        <v>1.00261797445621</v>
      </c>
      <c r="K174">
        <f t="shared" si="70"/>
        <v>-13.22138601</v>
      </c>
      <c r="L174">
        <f t="shared" si="71"/>
        <v>42.70126204</v>
      </c>
      <c r="M174">
        <f t="shared" si="72"/>
        <v>5.65344394486897</v>
      </c>
      <c r="N174">
        <f t="shared" si="73"/>
        <v>-0.957249062131031</v>
      </c>
      <c r="O174">
        <f t="shared" si="74"/>
        <v>-0.289264987596601</v>
      </c>
      <c r="P174">
        <f t="shared" si="75"/>
        <v>-0.293458910365912</v>
      </c>
      <c r="Q174">
        <f t="shared" si="76"/>
        <v>0.0297394383984375</v>
      </c>
      <c r="R174">
        <f t="shared" si="77"/>
        <v>1.00088443419625</v>
      </c>
      <c r="S174">
        <f t="shared" si="78"/>
        <v>-13.22138601</v>
      </c>
      <c r="T174">
        <f t="shared" si="79"/>
        <v>42.7849362730493</v>
      </c>
      <c r="U174">
        <f t="shared" si="80"/>
        <v>5.66840422264845</v>
      </c>
      <c r="V174">
        <f t="shared" si="81"/>
        <v>-0.942288784351547</v>
      </c>
      <c r="W174">
        <f t="shared" si="82"/>
        <v>0.176103851626307</v>
      </c>
      <c r="X174">
        <f t="shared" si="83"/>
        <v>0.177027032900858</v>
      </c>
    </row>
    <row r="175" spans="3:24">
      <c r="C175" s="2">
        <v>794</v>
      </c>
      <c r="D175" s="2">
        <v>1365</v>
      </c>
      <c r="E175" s="4">
        <f t="shared" si="65"/>
        <v>-16.7625473508825</v>
      </c>
      <c r="F175" s="4">
        <f t="shared" si="64"/>
        <v>128.249165393683</v>
      </c>
      <c r="G175">
        <f t="shared" si="66"/>
        <v>0.224609375</v>
      </c>
      <c r="H175">
        <f t="shared" si="67"/>
        <v>-0.3330078125</v>
      </c>
      <c r="I175">
        <f t="shared" si="68"/>
        <v>-0.0509605451953125</v>
      </c>
      <c r="J175">
        <f t="shared" si="69"/>
        <v>1.00260268704681</v>
      </c>
      <c r="K175">
        <f t="shared" si="70"/>
        <v>-13.22138601</v>
      </c>
      <c r="L175">
        <f t="shared" si="71"/>
        <v>42.70126204</v>
      </c>
      <c r="M175">
        <f t="shared" si="72"/>
        <v>5.653184782002</v>
      </c>
      <c r="N175">
        <f t="shared" si="73"/>
        <v>-0.957508224998</v>
      </c>
      <c r="O175">
        <f t="shared" si="74"/>
        <v>-0.288405962249705</v>
      </c>
      <c r="P175">
        <f t="shared" si="75"/>
        <v>-0.292561642294353</v>
      </c>
      <c r="Q175">
        <f t="shared" si="76"/>
        <v>0.034372215234375</v>
      </c>
      <c r="R175">
        <f t="shared" si="77"/>
        <v>1.00118144918012</v>
      </c>
      <c r="S175">
        <f t="shared" si="78"/>
        <v>-13.22138601</v>
      </c>
      <c r="T175">
        <f t="shared" si="79"/>
        <v>42.7844400390612</v>
      </c>
      <c r="U175">
        <f t="shared" si="80"/>
        <v>5.6732517548756</v>
      </c>
      <c r="V175">
        <f t="shared" si="81"/>
        <v>-0.937441252124397</v>
      </c>
      <c r="W175">
        <f t="shared" si="82"/>
        <v>0.203656012509947</v>
      </c>
      <c r="X175">
        <f t="shared" si="83"/>
        <v>0.20509075373752</v>
      </c>
    </row>
    <row r="176" spans="3:24">
      <c r="C176" s="2">
        <v>773</v>
      </c>
      <c r="D176" s="2">
        <v>1379</v>
      </c>
      <c r="E176" s="4">
        <f t="shared" si="65"/>
        <v>-17.4842512745434</v>
      </c>
      <c r="F176" s="4">
        <f t="shared" si="64"/>
        <v>127.090031663037</v>
      </c>
      <c r="G176">
        <f t="shared" si="66"/>
        <v>0.2451171875</v>
      </c>
      <c r="H176">
        <f t="shared" si="67"/>
        <v>-0.3466796875</v>
      </c>
      <c r="I176">
        <f t="shared" si="68"/>
        <v>-0.0530527669921875</v>
      </c>
      <c r="J176">
        <f t="shared" si="69"/>
        <v>1.00282078443662</v>
      </c>
      <c r="K176">
        <f t="shared" si="70"/>
        <v>-13.22138601</v>
      </c>
      <c r="L176">
        <f t="shared" si="71"/>
        <v>42.70126204</v>
      </c>
      <c r="M176">
        <f t="shared" si="72"/>
        <v>5.65689343814566</v>
      </c>
      <c r="N176">
        <f t="shared" si="73"/>
        <v>-0.953799568854343</v>
      </c>
      <c r="O176">
        <f t="shared" si="74"/>
        <v>-0.300443642724004</v>
      </c>
      <c r="P176">
        <f t="shared" si="75"/>
        <v>-0.305157751986797</v>
      </c>
      <c r="Q176">
        <f t="shared" si="76"/>
        <v>0.0375105479296875</v>
      </c>
      <c r="R176">
        <f t="shared" si="77"/>
        <v>1.00140704120599</v>
      </c>
      <c r="S176">
        <f t="shared" si="78"/>
        <v>-13.22138601</v>
      </c>
      <c r="T176">
        <f t="shared" si="79"/>
        <v>42.7915284224533</v>
      </c>
      <c r="U176">
        <f t="shared" si="80"/>
        <v>5.68100326096107</v>
      </c>
      <c r="V176">
        <f t="shared" si="81"/>
        <v>-0.929689746038931</v>
      </c>
      <c r="W176">
        <f t="shared" si="82"/>
        <v>0.223419701877217</v>
      </c>
      <c r="X176">
        <f t="shared" si="83"/>
        <v>0.225321453808215</v>
      </c>
    </row>
    <row r="177" spans="3:24">
      <c r="C177" s="2">
        <v>755</v>
      </c>
      <c r="D177" s="2">
        <v>1371</v>
      </c>
      <c r="E177" s="4">
        <f t="shared" si="65"/>
        <v>-17.0713263877835</v>
      </c>
      <c r="F177" s="4">
        <f t="shared" si="64"/>
        <v>126.174451864468</v>
      </c>
      <c r="G177">
        <f t="shared" si="66"/>
        <v>0.2626953125</v>
      </c>
      <c r="H177">
        <f t="shared" si="67"/>
        <v>-0.3388671875</v>
      </c>
      <c r="I177">
        <f t="shared" si="68"/>
        <v>-0.0518572116796875</v>
      </c>
      <c r="J177">
        <f t="shared" si="69"/>
        <v>1.00269508298535</v>
      </c>
      <c r="K177">
        <f t="shared" si="70"/>
        <v>-13.22138601</v>
      </c>
      <c r="L177">
        <f t="shared" si="71"/>
        <v>42.70126204</v>
      </c>
      <c r="M177">
        <f t="shared" si="72"/>
        <v>5.65475295972703</v>
      </c>
      <c r="N177">
        <f t="shared" si="73"/>
        <v>-0.955940047272975</v>
      </c>
      <c r="O177">
        <f t="shared" si="74"/>
        <v>-0.293561962828536</v>
      </c>
      <c r="P177">
        <f t="shared" si="75"/>
        <v>-0.297950853149413</v>
      </c>
      <c r="Q177">
        <f t="shared" si="76"/>
        <v>0.0402005473828125</v>
      </c>
      <c r="R177">
        <f t="shared" si="77"/>
        <v>1.00161608400988</v>
      </c>
      <c r="S177">
        <f t="shared" si="78"/>
        <v>-13.22138601</v>
      </c>
      <c r="T177">
        <f t="shared" si="79"/>
        <v>42.7874406660197</v>
      </c>
      <c r="U177">
        <f t="shared" si="80"/>
        <v>5.68244862539294</v>
      </c>
      <c r="V177">
        <f t="shared" si="81"/>
        <v>-0.928244381607058</v>
      </c>
      <c r="W177">
        <f t="shared" si="82"/>
        <v>0.238966461735567</v>
      </c>
      <c r="X177">
        <f t="shared" si="83"/>
        <v>0.24130133585799</v>
      </c>
    </row>
    <row r="178" spans="3:24">
      <c r="C178" s="2">
        <v>779</v>
      </c>
      <c r="D178" s="2">
        <v>1349</v>
      </c>
      <c r="E178" s="4">
        <f t="shared" si="65"/>
        <v>-15.9428180077299</v>
      </c>
      <c r="F178" s="4">
        <f t="shared" si="64"/>
        <v>127.527221488482</v>
      </c>
      <c r="G178">
        <f t="shared" si="66"/>
        <v>0.2392578125</v>
      </c>
      <c r="H178">
        <f t="shared" si="67"/>
        <v>-0.3173828125</v>
      </c>
      <c r="I178">
        <f t="shared" si="68"/>
        <v>-0.0485694345703125</v>
      </c>
      <c r="J178">
        <f t="shared" si="69"/>
        <v>1.00236417660081</v>
      </c>
      <c r="K178">
        <f t="shared" si="70"/>
        <v>-13.22138601</v>
      </c>
      <c r="L178">
        <f t="shared" si="71"/>
        <v>42.70126204</v>
      </c>
      <c r="M178">
        <f t="shared" si="72"/>
        <v>5.64915669988053</v>
      </c>
      <c r="N178">
        <f t="shared" si="73"/>
        <v>-0.96153630711947</v>
      </c>
      <c r="O178">
        <f t="shared" si="74"/>
        <v>-0.27467786603775</v>
      </c>
      <c r="P178">
        <f t="shared" si="75"/>
        <v>-0.27825466628113</v>
      </c>
      <c r="Q178">
        <f t="shared" si="76"/>
        <v>0.0366138814453125</v>
      </c>
      <c r="R178">
        <f t="shared" si="77"/>
        <v>1.00134057631449</v>
      </c>
      <c r="S178">
        <f t="shared" si="78"/>
        <v>-13.22138601</v>
      </c>
      <c r="T178">
        <f t="shared" si="79"/>
        <v>42.7767099700911</v>
      </c>
      <c r="U178">
        <f t="shared" si="80"/>
        <v>5.67185017943192</v>
      </c>
      <c r="V178">
        <f t="shared" si="81"/>
        <v>-0.93884282756808</v>
      </c>
      <c r="W178">
        <f t="shared" si="82"/>
        <v>0.215975746802493</v>
      </c>
      <c r="X178">
        <f t="shared" si="83"/>
        <v>0.217691051897993</v>
      </c>
    </row>
    <row r="179" spans="3:24">
      <c r="C179" s="2">
        <v>799</v>
      </c>
      <c r="D179" s="2">
        <v>1339</v>
      </c>
      <c r="E179" s="4">
        <f t="shared" si="65"/>
        <v>-15.4330905738844</v>
      </c>
      <c r="F179" s="4">
        <f t="shared" si="64"/>
        <v>128.601140349151</v>
      </c>
      <c r="G179">
        <f t="shared" si="66"/>
        <v>0.2197265625</v>
      </c>
      <c r="H179">
        <f t="shared" si="67"/>
        <v>-0.3076171875</v>
      </c>
      <c r="I179">
        <f t="shared" si="68"/>
        <v>-0.0470749904296875</v>
      </c>
      <c r="J179">
        <f t="shared" si="69"/>
        <v>1.0022209270837</v>
      </c>
      <c r="K179">
        <f t="shared" si="70"/>
        <v>-13.22138601</v>
      </c>
      <c r="L179">
        <f t="shared" si="71"/>
        <v>42.70126204</v>
      </c>
      <c r="M179">
        <f t="shared" si="72"/>
        <v>5.64675113268345</v>
      </c>
      <c r="N179">
        <f t="shared" si="73"/>
        <v>-0.96394187431655</v>
      </c>
      <c r="O179">
        <f t="shared" si="74"/>
        <v>-0.266112876312095</v>
      </c>
      <c r="P179">
        <f t="shared" si="75"/>
        <v>-0.269358244272784</v>
      </c>
      <c r="Q179">
        <f t="shared" si="76"/>
        <v>0.0336249931640625</v>
      </c>
      <c r="R179">
        <f t="shared" si="77"/>
        <v>1.00113064016528</v>
      </c>
      <c r="S179">
        <f t="shared" si="78"/>
        <v>-13.22138601</v>
      </c>
      <c r="T179">
        <f t="shared" si="79"/>
        <v>42.7720781029391</v>
      </c>
      <c r="U179">
        <f t="shared" si="80"/>
        <v>5.66576478169058</v>
      </c>
      <c r="V179">
        <f t="shared" si="81"/>
        <v>-0.944928225309417</v>
      </c>
      <c r="W179">
        <f t="shared" si="82"/>
        <v>0.197637830152471</v>
      </c>
      <c r="X179">
        <f t="shared" si="83"/>
        <v>0.198947631880047</v>
      </c>
    </row>
    <row r="180" spans="3:24">
      <c r="C180" s="2">
        <v>774</v>
      </c>
      <c r="D180" s="2">
        <v>1321</v>
      </c>
      <c r="E180" s="4">
        <f t="shared" si="65"/>
        <v>-14.5203296052604</v>
      </c>
      <c r="F180" s="4">
        <f t="shared" si="64"/>
        <v>127.3687659032</v>
      </c>
      <c r="G180">
        <f t="shared" si="66"/>
        <v>0.244140625</v>
      </c>
      <c r="H180">
        <f t="shared" si="67"/>
        <v>-0.2900390625</v>
      </c>
      <c r="I180">
        <f t="shared" si="68"/>
        <v>-0.0443849909765625</v>
      </c>
      <c r="J180">
        <f t="shared" si="69"/>
        <v>1.00197435885237</v>
      </c>
      <c r="K180">
        <f t="shared" si="70"/>
        <v>-13.22138601</v>
      </c>
      <c r="L180">
        <f t="shared" si="71"/>
        <v>42.70126204</v>
      </c>
      <c r="M180">
        <f t="shared" si="72"/>
        <v>5.64263426703243</v>
      </c>
      <c r="N180">
        <f t="shared" si="73"/>
        <v>-0.968058739967574</v>
      </c>
      <c r="O180">
        <f t="shared" si="74"/>
        <v>-0.25072350502574</v>
      </c>
      <c r="P180">
        <f t="shared" si="75"/>
        <v>-0.253427560086603</v>
      </c>
      <c r="Q180">
        <f t="shared" si="76"/>
        <v>0.037361103515625</v>
      </c>
      <c r="R180">
        <f t="shared" si="77"/>
        <v>1.00139585205591</v>
      </c>
      <c r="S180">
        <f t="shared" si="78"/>
        <v>-13.22138601</v>
      </c>
      <c r="T180">
        <f t="shared" si="79"/>
        <v>42.7641243159724</v>
      </c>
      <c r="U180">
        <f t="shared" si="80"/>
        <v>5.66606351623383</v>
      </c>
      <c r="V180">
        <f t="shared" si="81"/>
        <v>-0.944629490766169</v>
      </c>
      <c r="W180">
        <f t="shared" si="82"/>
        <v>0.218675218100768</v>
      </c>
      <c r="X180">
        <f t="shared" si="83"/>
        <v>0.220456623579336</v>
      </c>
    </row>
    <row r="181" spans="3:24">
      <c r="C181" s="2">
        <v>768</v>
      </c>
      <c r="D181" s="2">
        <v>1325</v>
      </c>
      <c r="E181" s="4">
        <f t="shared" si="65"/>
        <v>-14.722655363126</v>
      </c>
      <c r="F181" s="4">
        <f t="shared" si="64"/>
        <v>127.043436309899</v>
      </c>
      <c r="G181">
        <f t="shared" si="66"/>
        <v>0.25</v>
      </c>
      <c r="H181">
        <f t="shared" si="67"/>
        <v>-0.2939453125</v>
      </c>
      <c r="I181">
        <f t="shared" si="68"/>
        <v>-0.0449827686328125</v>
      </c>
      <c r="J181">
        <f t="shared" si="69"/>
        <v>1.00202789835939</v>
      </c>
      <c r="K181">
        <f t="shared" si="70"/>
        <v>-13.22138601</v>
      </c>
      <c r="L181">
        <f t="shared" si="71"/>
        <v>42.70126204</v>
      </c>
      <c r="M181">
        <f t="shared" si="72"/>
        <v>5.64352566843884</v>
      </c>
      <c r="N181">
        <f t="shared" si="73"/>
        <v>-0.967167338561158</v>
      </c>
      <c r="O181">
        <f t="shared" si="74"/>
        <v>-0.254140392737021</v>
      </c>
      <c r="P181">
        <f t="shared" si="75"/>
        <v>-0.256958810722951</v>
      </c>
      <c r="Q181">
        <f t="shared" si="76"/>
        <v>0.03825777</v>
      </c>
      <c r="R181">
        <f t="shared" si="77"/>
        <v>1.00146365696537</v>
      </c>
      <c r="S181">
        <f t="shared" si="78"/>
        <v>-13.22138601</v>
      </c>
      <c r="T181">
        <f t="shared" si="79"/>
        <v>42.7658493792205</v>
      </c>
      <c r="U181">
        <f t="shared" si="80"/>
        <v>5.66814943778416</v>
      </c>
      <c r="V181">
        <f t="shared" si="81"/>
        <v>-0.942543569215841</v>
      </c>
      <c r="W181">
        <f t="shared" si="82"/>
        <v>0.224212313373028</v>
      </c>
      <c r="X181">
        <f t="shared" si="83"/>
        <v>0.226134696136613</v>
      </c>
    </row>
    <row r="182" spans="3:24">
      <c r="C182" s="2">
        <v>771</v>
      </c>
      <c r="D182" s="2">
        <v>1333</v>
      </c>
      <c r="E182" s="4">
        <f t="shared" si="65"/>
        <v>-15.1281737286665</v>
      </c>
      <c r="F182" s="4">
        <f t="shared" ref="F182:F245" si="84">IF(140-X182*180/PI()&gt;180,140-X182*180/PI()-360,140-X182*180/PI())</f>
        <v>127.170287509513</v>
      </c>
      <c r="G182">
        <f t="shared" si="66"/>
        <v>0.2470703125</v>
      </c>
      <c r="H182">
        <f t="shared" si="67"/>
        <v>-0.3017578125</v>
      </c>
      <c r="I182">
        <f t="shared" si="68"/>
        <v>-0.0461783239453125</v>
      </c>
      <c r="J182">
        <f t="shared" si="69"/>
        <v>1.00213712611619</v>
      </c>
      <c r="K182">
        <f t="shared" si="70"/>
        <v>-13.22138601</v>
      </c>
      <c r="L182">
        <f t="shared" si="71"/>
        <v>42.70126204</v>
      </c>
      <c r="M182">
        <f t="shared" si="72"/>
        <v>5.64534858924218</v>
      </c>
      <c r="N182">
        <f t="shared" si="73"/>
        <v>-0.965344417757818</v>
      </c>
      <c r="O182">
        <f t="shared" si="74"/>
        <v>-0.26097922350988</v>
      </c>
      <c r="P182">
        <f t="shared" si="75"/>
        <v>-0.264036441378937</v>
      </c>
      <c r="Q182">
        <f t="shared" si="76"/>
        <v>0.0378094367578125</v>
      </c>
      <c r="R182">
        <f t="shared" si="77"/>
        <v>1.00142955350794</v>
      </c>
      <c r="S182">
        <f t="shared" si="78"/>
        <v>-13.22138601</v>
      </c>
      <c r="T182">
        <f t="shared" si="79"/>
        <v>42.7693721951038</v>
      </c>
      <c r="U182">
        <f t="shared" si="80"/>
        <v>5.66944905710053</v>
      </c>
      <c r="V182">
        <f t="shared" si="81"/>
        <v>-0.941243949899467</v>
      </c>
      <c r="W182">
        <f t="shared" si="82"/>
        <v>0.222054161527264</v>
      </c>
      <c r="X182">
        <f t="shared" si="83"/>
        <v>0.223920725043241</v>
      </c>
    </row>
    <row r="183" spans="3:24">
      <c r="C183" s="2">
        <v>783</v>
      </c>
      <c r="D183" s="2">
        <v>1329</v>
      </c>
      <c r="E183" s="4">
        <f t="shared" si="65"/>
        <v>-14.9252684244005</v>
      </c>
      <c r="F183" s="4">
        <f t="shared" si="84"/>
        <v>127.807265404635</v>
      </c>
      <c r="G183">
        <f t="shared" si="66"/>
        <v>0.2353515625</v>
      </c>
      <c r="H183">
        <f t="shared" si="67"/>
        <v>-0.2978515625</v>
      </c>
      <c r="I183">
        <f t="shared" si="68"/>
        <v>-0.0455805462890625</v>
      </c>
      <c r="J183">
        <f t="shared" si="69"/>
        <v>1.00208215411399</v>
      </c>
      <c r="K183">
        <f t="shared" si="70"/>
        <v>-13.22138601</v>
      </c>
      <c r="L183">
        <f t="shared" si="71"/>
        <v>42.70126204</v>
      </c>
      <c r="M183">
        <f t="shared" si="72"/>
        <v>5.64443042163835</v>
      </c>
      <c r="N183">
        <f t="shared" si="73"/>
        <v>-0.966262585361654</v>
      </c>
      <c r="O183">
        <f t="shared" si="74"/>
        <v>-0.257558956610351</v>
      </c>
      <c r="P183">
        <f t="shared" si="75"/>
        <v>-0.260495075749735</v>
      </c>
      <c r="Q183">
        <f t="shared" si="76"/>
        <v>0.0360161037890625</v>
      </c>
      <c r="R183">
        <f t="shared" si="77"/>
        <v>1.00129715973214</v>
      </c>
      <c r="S183">
        <f t="shared" si="78"/>
        <v>-13.22138601</v>
      </c>
      <c r="T183">
        <f t="shared" si="79"/>
        <v>42.7675986561302</v>
      </c>
      <c r="U183">
        <f t="shared" si="80"/>
        <v>5.66622671258132</v>
      </c>
      <c r="V183">
        <f t="shared" si="81"/>
        <v>-0.944466294418675</v>
      </c>
      <c r="W183">
        <f t="shared" si="82"/>
        <v>0.211200853307123</v>
      </c>
      <c r="X183">
        <f t="shared" si="83"/>
        <v>0.212803363510943</v>
      </c>
    </row>
    <row r="184" spans="3:24">
      <c r="C184" s="2">
        <v>804</v>
      </c>
      <c r="D184" s="2">
        <v>1298</v>
      </c>
      <c r="E184" s="4">
        <f t="shared" si="65"/>
        <v>-13.362289774911</v>
      </c>
      <c r="F184" s="4">
        <f t="shared" si="84"/>
        <v>128.981796919248</v>
      </c>
      <c r="G184">
        <f t="shared" si="66"/>
        <v>0.21484375</v>
      </c>
      <c r="H184">
        <f t="shared" si="67"/>
        <v>-0.267578125</v>
      </c>
      <c r="I184">
        <f t="shared" si="68"/>
        <v>-0.040947769453125</v>
      </c>
      <c r="J184">
        <f t="shared" si="69"/>
        <v>1.0016804063667</v>
      </c>
      <c r="K184">
        <f t="shared" si="70"/>
        <v>-13.22138601</v>
      </c>
      <c r="L184">
        <f t="shared" si="71"/>
        <v>42.70126204</v>
      </c>
      <c r="M184">
        <f t="shared" si="72"/>
        <v>5.63776481053835</v>
      </c>
      <c r="N184">
        <f t="shared" si="73"/>
        <v>-0.972928196461647</v>
      </c>
      <c r="O184">
        <f t="shared" si="74"/>
        <v>-0.231107603790718</v>
      </c>
      <c r="P184">
        <f t="shared" si="75"/>
        <v>-0.233215952177769</v>
      </c>
      <c r="Q184">
        <f t="shared" si="76"/>
        <v>0.03287777109375</v>
      </c>
      <c r="R184">
        <f t="shared" si="77"/>
        <v>1.00108094783209</v>
      </c>
      <c r="S184">
        <f t="shared" si="78"/>
        <v>-13.22138601</v>
      </c>
      <c r="T184">
        <f t="shared" si="79"/>
        <v>42.7546727645299</v>
      </c>
      <c r="U184">
        <f t="shared" si="80"/>
        <v>5.6556992696192</v>
      </c>
      <c r="V184">
        <f t="shared" si="81"/>
        <v>-0.9549937373808</v>
      </c>
      <c r="W184">
        <f t="shared" si="82"/>
        <v>0.19112085232305</v>
      </c>
      <c r="X184">
        <f t="shared" si="83"/>
        <v>0.192303921412514</v>
      </c>
    </row>
    <row r="185" spans="3:24">
      <c r="C185" s="2">
        <v>812</v>
      </c>
      <c r="D185" s="2">
        <v>1301</v>
      </c>
      <c r="E185" s="4">
        <f t="shared" si="65"/>
        <v>-13.5128409601932</v>
      </c>
      <c r="F185" s="4">
        <f t="shared" si="84"/>
        <v>129.381734693332</v>
      </c>
      <c r="G185">
        <f t="shared" si="66"/>
        <v>0.20703125</v>
      </c>
      <c r="H185">
        <f t="shared" si="67"/>
        <v>-0.2705078125</v>
      </c>
      <c r="I185">
        <f t="shared" si="68"/>
        <v>-0.0413961026953125</v>
      </c>
      <c r="J185">
        <f t="shared" si="69"/>
        <v>1.00171740503104</v>
      </c>
      <c r="K185">
        <f t="shared" si="70"/>
        <v>-13.22138601</v>
      </c>
      <c r="L185">
        <f t="shared" si="71"/>
        <v>42.70126204</v>
      </c>
      <c r="M185">
        <f t="shared" si="72"/>
        <v>5.63837543010486</v>
      </c>
      <c r="N185">
        <f t="shared" si="73"/>
        <v>-0.972317576895137</v>
      </c>
      <c r="O185">
        <f t="shared" si="74"/>
        <v>-0.233663282654269</v>
      </c>
      <c r="P185">
        <f t="shared" si="75"/>
        <v>-0.235843566053724</v>
      </c>
      <c r="Q185">
        <f t="shared" si="76"/>
        <v>0.03168221578125</v>
      </c>
      <c r="R185">
        <f t="shared" si="77"/>
        <v>1.00100376279681</v>
      </c>
      <c r="S185">
        <f t="shared" si="78"/>
        <v>-13.22138601</v>
      </c>
      <c r="T185">
        <f t="shared" si="79"/>
        <v>42.7558605696608</v>
      </c>
      <c r="U185">
        <f t="shared" si="80"/>
        <v>5.65502475708913</v>
      </c>
      <c r="V185">
        <f t="shared" si="81"/>
        <v>-0.955668249910867</v>
      </c>
      <c r="W185">
        <f t="shared" si="82"/>
        <v>0.184264690964842</v>
      </c>
      <c r="X185">
        <f t="shared" si="83"/>
        <v>0.185323690451643</v>
      </c>
    </row>
    <row r="186" spans="3:24">
      <c r="C186" s="2">
        <v>820</v>
      </c>
      <c r="D186" s="2">
        <v>1307</v>
      </c>
      <c r="E186" s="4">
        <f t="shared" si="65"/>
        <v>-13.8143818258309</v>
      </c>
      <c r="F186" s="4">
        <f t="shared" si="84"/>
        <v>129.77355617296</v>
      </c>
      <c r="G186">
        <f t="shared" si="66"/>
        <v>0.19921875</v>
      </c>
      <c r="H186">
        <f t="shared" si="67"/>
        <v>-0.2763671875</v>
      </c>
      <c r="I186">
        <f t="shared" si="68"/>
        <v>-0.0422927691796875</v>
      </c>
      <c r="J186">
        <f t="shared" si="69"/>
        <v>1.00179261102753</v>
      </c>
      <c r="K186">
        <f t="shared" si="70"/>
        <v>-13.22138601</v>
      </c>
      <c r="L186">
        <f t="shared" si="71"/>
        <v>42.70126204</v>
      </c>
      <c r="M186">
        <f t="shared" si="72"/>
        <v>5.63961863201748</v>
      </c>
      <c r="N186">
        <f t="shared" si="73"/>
        <v>-0.971074374982519</v>
      </c>
      <c r="O186">
        <f t="shared" si="74"/>
        <v>-0.238777214684129</v>
      </c>
      <c r="P186">
        <f t="shared" si="75"/>
        <v>-0.241106446988414</v>
      </c>
      <c r="Q186">
        <f t="shared" si="76"/>
        <v>0.03048666046875</v>
      </c>
      <c r="R186">
        <f t="shared" si="77"/>
        <v>1.00092943646654</v>
      </c>
      <c r="S186">
        <f t="shared" si="78"/>
        <v>-13.22138601</v>
      </c>
      <c r="T186">
        <f t="shared" si="79"/>
        <v>42.7582765982523</v>
      </c>
      <c r="U186">
        <f t="shared" si="80"/>
        <v>5.65504534006749</v>
      </c>
      <c r="V186">
        <f t="shared" si="81"/>
        <v>-0.955647666932508</v>
      </c>
      <c r="W186">
        <f t="shared" si="82"/>
        <v>0.1775389590613</v>
      </c>
      <c r="X186">
        <f t="shared" si="83"/>
        <v>0.178485115552091</v>
      </c>
    </row>
    <row r="187" spans="3:24">
      <c r="C187" s="2">
        <v>825</v>
      </c>
      <c r="D187" s="2">
        <v>1325</v>
      </c>
      <c r="E187" s="4">
        <f t="shared" si="65"/>
        <v>-14.722655363126</v>
      </c>
      <c r="F187" s="4">
        <f t="shared" si="84"/>
        <v>129.980315631393</v>
      </c>
      <c r="G187">
        <f t="shared" si="66"/>
        <v>0.1943359375</v>
      </c>
      <c r="H187">
        <f t="shared" si="67"/>
        <v>-0.2939453125</v>
      </c>
      <c r="I187">
        <f t="shared" si="68"/>
        <v>-0.0449827686328125</v>
      </c>
      <c r="J187">
        <f t="shared" si="69"/>
        <v>1.00202789835939</v>
      </c>
      <c r="K187">
        <f t="shared" si="70"/>
        <v>-13.22138601</v>
      </c>
      <c r="L187">
        <f t="shared" si="71"/>
        <v>42.70126204</v>
      </c>
      <c r="M187">
        <f t="shared" si="72"/>
        <v>5.64352566843884</v>
      </c>
      <c r="N187">
        <f t="shared" si="73"/>
        <v>-0.967167338561158</v>
      </c>
      <c r="O187">
        <f t="shared" si="74"/>
        <v>-0.254140392737021</v>
      </c>
      <c r="P187">
        <f t="shared" si="75"/>
        <v>-0.256958810722951</v>
      </c>
      <c r="Q187">
        <f t="shared" si="76"/>
        <v>0.0297394383984375</v>
      </c>
      <c r="R187">
        <f t="shared" si="77"/>
        <v>1.00088443419625</v>
      </c>
      <c r="S187">
        <f t="shared" si="78"/>
        <v>-13.22138601</v>
      </c>
      <c r="T187">
        <f t="shared" si="79"/>
        <v>42.7658493792205</v>
      </c>
      <c r="U187">
        <f t="shared" si="80"/>
        <v>5.65827686905639</v>
      </c>
      <c r="V187">
        <f t="shared" si="81"/>
        <v>-0.952416137943613</v>
      </c>
      <c r="W187">
        <f t="shared" si="82"/>
        <v>0.173986505052213</v>
      </c>
      <c r="X187">
        <f t="shared" si="83"/>
        <v>0.174876482242801</v>
      </c>
    </row>
    <row r="188" spans="3:24">
      <c r="C188" s="2">
        <v>812</v>
      </c>
      <c r="D188" s="2">
        <v>1321</v>
      </c>
      <c r="E188" s="4">
        <f t="shared" si="65"/>
        <v>-14.5203296052604</v>
      </c>
      <c r="F188" s="4">
        <f t="shared" si="84"/>
        <v>129.326156909922</v>
      </c>
      <c r="G188">
        <f t="shared" si="66"/>
        <v>0.20703125</v>
      </c>
      <c r="H188">
        <f t="shared" si="67"/>
        <v>-0.2900390625</v>
      </c>
      <c r="I188">
        <f t="shared" si="68"/>
        <v>-0.0443849909765625</v>
      </c>
      <c r="J188">
        <f t="shared" si="69"/>
        <v>1.00197435885237</v>
      </c>
      <c r="K188">
        <f t="shared" si="70"/>
        <v>-13.22138601</v>
      </c>
      <c r="L188">
        <f t="shared" si="71"/>
        <v>42.70126204</v>
      </c>
      <c r="M188">
        <f t="shared" si="72"/>
        <v>5.64263426703243</v>
      </c>
      <c r="N188">
        <f t="shared" si="73"/>
        <v>-0.968058739967574</v>
      </c>
      <c r="O188">
        <f t="shared" si="74"/>
        <v>-0.25072350502574</v>
      </c>
      <c r="P188">
        <f t="shared" si="75"/>
        <v>-0.253427560086603</v>
      </c>
      <c r="Q188">
        <f t="shared" si="76"/>
        <v>0.03168221578125</v>
      </c>
      <c r="R188">
        <f t="shared" si="77"/>
        <v>1.00100376279681</v>
      </c>
      <c r="S188">
        <f t="shared" si="78"/>
        <v>-13.22138601</v>
      </c>
      <c r="T188">
        <f t="shared" si="79"/>
        <v>42.7641243159724</v>
      </c>
      <c r="U188">
        <f t="shared" si="80"/>
        <v>5.6593841465092</v>
      </c>
      <c r="V188">
        <f t="shared" si="81"/>
        <v>-0.951308860490797</v>
      </c>
      <c r="W188">
        <f t="shared" si="82"/>
        <v>0.185218009532235</v>
      </c>
      <c r="X188">
        <f t="shared" si="83"/>
        <v>0.186293705763109</v>
      </c>
    </row>
    <row r="189" spans="3:24">
      <c r="C189" s="2">
        <v>801</v>
      </c>
      <c r="D189" s="2">
        <v>1314</v>
      </c>
      <c r="E189" s="4">
        <f t="shared" si="65"/>
        <v>-14.1669361756757</v>
      </c>
      <c r="F189" s="4">
        <f t="shared" si="84"/>
        <v>128.782746638571</v>
      </c>
      <c r="G189">
        <f t="shared" si="66"/>
        <v>0.2177734375</v>
      </c>
      <c r="H189">
        <f t="shared" si="67"/>
        <v>-0.283203125</v>
      </c>
      <c r="I189">
        <f t="shared" si="68"/>
        <v>-0.043338880078125</v>
      </c>
      <c r="J189">
        <f t="shared" si="69"/>
        <v>1.00188238818583</v>
      </c>
      <c r="K189">
        <f t="shared" si="70"/>
        <v>-13.22138601</v>
      </c>
      <c r="L189">
        <f t="shared" si="71"/>
        <v>42.70126204</v>
      </c>
      <c r="M189">
        <f t="shared" si="72"/>
        <v>5.64110625836114</v>
      </c>
      <c r="N189">
        <f t="shared" si="73"/>
        <v>-0.969586748638858</v>
      </c>
      <c r="O189">
        <f t="shared" si="74"/>
        <v>-0.244747904718157</v>
      </c>
      <c r="P189">
        <f t="shared" si="75"/>
        <v>-0.247259681185436</v>
      </c>
      <c r="Q189">
        <f t="shared" si="76"/>
        <v>0.0333261043359375</v>
      </c>
      <c r="R189">
        <f t="shared" si="77"/>
        <v>1.00111062923021</v>
      </c>
      <c r="S189">
        <f t="shared" si="78"/>
        <v>-13.22138601</v>
      </c>
      <c r="T189">
        <f t="shared" si="79"/>
        <v>42.7611635768639</v>
      </c>
      <c r="U189">
        <f t="shared" si="80"/>
        <v>5.65962864102855</v>
      </c>
      <c r="V189">
        <f t="shared" si="81"/>
        <v>-0.951064365971449</v>
      </c>
      <c r="W189">
        <f t="shared" si="82"/>
        <v>0.194529735437786</v>
      </c>
      <c r="X189">
        <f t="shared" si="83"/>
        <v>0.195778004187333</v>
      </c>
    </row>
    <row r="190" spans="3:24">
      <c r="C190" s="2">
        <v>800</v>
      </c>
      <c r="D190" s="2">
        <v>1328</v>
      </c>
      <c r="E190" s="4">
        <f t="shared" si="65"/>
        <v>-14.874587955131</v>
      </c>
      <c r="F190" s="4">
        <f t="shared" si="84"/>
        <v>128.688432095763</v>
      </c>
      <c r="G190">
        <f t="shared" si="66"/>
        <v>0.21875</v>
      </c>
      <c r="H190">
        <f t="shared" si="67"/>
        <v>-0.296875</v>
      </c>
      <c r="I190">
        <f t="shared" si="68"/>
        <v>-0.045431101875</v>
      </c>
      <c r="J190">
        <f t="shared" si="69"/>
        <v>1.00206852302713</v>
      </c>
      <c r="K190">
        <f t="shared" si="70"/>
        <v>-13.22138601</v>
      </c>
      <c r="L190">
        <f t="shared" si="71"/>
        <v>42.70126204</v>
      </c>
      <c r="M190">
        <f t="shared" si="72"/>
        <v>5.64420297820492</v>
      </c>
      <c r="N190">
        <f t="shared" si="73"/>
        <v>-0.966490028795083</v>
      </c>
      <c r="O190">
        <f t="shared" si="74"/>
        <v>-0.256704157036226</v>
      </c>
      <c r="P190">
        <f t="shared" si="75"/>
        <v>-0.259610534694527</v>
      </c>
      <c r="Q190">
        <f t="shared" si="76"/>
        <v>0.03347554875</v>
      </c>
      <c r="R190">
        <f t="shared" si="77"/>
        <v>1.00112061236411</v>
      </c>
      <c r="S190">
        <f t="shared" si="78"/>
        <v>-13.22138601</v>
      </c>
      <c r="T190">
        <f t="shared" si="79"/>
        <v>42.7671590642397</v>
      </c>
      <c r="U190">
        <f t="shared" si="80"/>
        <v>5.66297697218598</v>
      </c>
      <c r="V190">
        <f t="shared" si="81"/>
        <v>-0.947716034814023</v>
      </c>
      <c r="W190">
        <f t="shared" si="82"/>
        <v>0.196144124402013</v>
      </c>
      <c r="X190">
        <f t="shared" si="83"/>
        <v>0.197424103491846</v>
      </c>
    </row>
    <row r="191" spans="3:24">
      <c r="C191" s="2">
        <v>811</v>
      </c>
      <c r="D191" s="2">
        <v>1332</v>
      </c>
      <c r="E191" s="4">
        <f t="shared" si="65"/>
        <v>-15.077419732749</v>
      </c>
      <c r="F191" s="4">
        <f t="shared" si="84"/>
        <v>129.242102230177</v>
      </c>
      <c r="G191">
        <f t="shared" si="66"/>
        <v>0.2080078125</v>
      </c>
      <c r="H191">
        <f t="shared" si="67"/>
        <v>-0.30078125</v>
      </c>
      <c r="I191">
        <f t="shared" si="68"/>
        <v>-0.04602887953125</v>
      </c>
      <c r="J191">
        <f t="shared" si="69"/>
        <v>1.00212331596743</v>
      </c>
      <c r="K191">
        <f t="shared" si="70"/>
        <v>-13.22138601</v>
      </c>
      <c r="L191">
        <f t="shared" si="71"/>
        <v>42.70126204</v>
      </c>
      <c r="M191">
        <f t="shared" si="72"/>
        <v>5.6451177862702</v>
      </c>
      <c r="N191">
        <f t="shared" si="73"/>
        <v>-0.965575220729799</v>
      </c>
      <c r="O191">
        <f t="shared" si="74"/>
        <v>-0.260123995649382</v>
      </c>
      <c r="P191">
        <f t="shared" si="75"/>
        <v>-0.263150617041634</v>
      </c>
      <c r="Q191">
        <f t="shared" si="76"/>
        <v>0.0318316601953125</v>
      </c>
      <c r="R191">
        <f t="shared" si="77"/>
        <v>1.00101325459079</v>
      </c>
      <c r="S191">
        <f t="shared" si="78"/>
        <v>-13.22138601</v>
      </c>
      <c r="T191">
        <f t="shared" si="79"/>
        <v>42.7689265331126</v>
      </c>
      <c r="U191">
        <f t="shared" si="80"/>
        <v>5.66208808214386</v>
      </c>
      <c r="V191">
        <f t="shared" si="81"/>
        <v>-0.948604924856142</v>
      </c>
      <c r="W191">
        <f t="shared" si="82"/>
        <v>0.186659457249463</v>
      </c>
      <c r="X191">
        <f t="shared" si="83"/>
        <v>0.18776073667637</v>
      </c>
    </row>
    <row r="192" spans="3:24">
      <c r="C192" s="2">
        <v>817</v>
      </c>
      <c r="D192" s="2">
        <v>1328</v>
      </c>
      <c r="E192" s="4">
        <f t="shared" si="65"/>
        <v>-14.874587955131</v>
      </c>
      <c r="F192" s="4">
        <f t="shared" si="84"/>
        <v>129.562129993959</v>
      </c>
      <c r="G192">
        <f t="shared" si="66"/>
        <v>0.2021484375</v>
      </c>
      <c r="H192">
        <f t="shared" si="67"/>
        <v>-0.296875</v>
      </c>
      <c r="I192">
        <f t="shared" si="68"/>
        <v>-0.045431101875</v>
      </c>
      <c r="J192">
        <f t="shared" si="69"/>
        <v>1.00206852302713</v>
      </c>
      <c r="K192">
        <f t="shared" si="70"/>
        <v>-13.22138601</v>
      </c>
      <c r="L192">
        <f t="shared" si="71"/>
        <v>42.70126204</v>
      </c>
      <c r="M192">
        <f t="shared" si="72"/>
        <v>5.64420297820492</v>
      </c>
      <c r="N192">
        <f t="shared" si="73"/>
        <v>-0.966490028795083</v>
      </c>
      <c r="O192">
        <f t="shared" si="74"/>
        <v>-0.256704157036226</v>
      </c>
      <c r="P192">
        <f t="shared" si="75"/>
        <v>-0.259610534694527</v>
      </c>
      <c r="Q192">
        <f t="shared" si="76"/>
        <v>0.0309349937109375</v>
      </c>
      <c r="R192">
        <f t="shared" si="77"/>
        <v>1.0009569738359</v>
      </c>
      <c r="S192">
        <f t="shared" si="78"/>
        <v>-13.22138601</v>
      </c>
      <c r="T192">
        <f t="shared" si="79"/>
        <v>42.7671590642397</v>
      </c>
      <c r="U192">
        <f t="shared" si="80"/>
        <v>5.66019651250085</v>
      </c>
      <c r="V192">
        <f t="shared" si="81"/>
        <v>-0.950496494499148</v>
      </c>
      <c r="W192">
        <f t="shared" si="82"/>
        <v>0.181169203525555</v>
      </c>
      <c r="X192">
        <f t="shared" si="83"/>
        <v>0.182175198500579</v>
      </c>
    </row>
    <row r="193" spans="3:24">
      <c r="C193" s="2">
        <v>828</v>
      </c>
      <c r="D193" s="2">
        <v>1356</v>
      </c>
      <c r="E193" s="4">
        <f t="shared" si="65"/>
        <v>-16.3008040192166</v>
      </c>
      <c r="F193" s="4">
        <f t="shared" si="84"/>
        <v>130.043848303896</v>
      </c>
      <c r="G193">
        <f t="shared" si="66"/>
        <v>0.19140625</v>
      </c>
      <c r="H193">
        <f t="shared" si="67"/>
        <v>-0.32421875</v>
      </c>
      <c r="I193">
        <f t="shared" si="68"/>
        <v>-0.04961554546875</v>
      </c>
      <c r="J193">
        <f t="shared" si="69"/>
        <v>1.0024671148085</v>
      </c>
      <c r="K193">
        <f t="shared" si="70"/>
        <v>-13.22138601</v>
      </c>
      <c r="L193">
        <f t="shared" si="71"/>
        <v>42.70126204</v>
      </c>
      <c r="M193">
        <f t="shared" si="72"/>
        <v>5.65089165365422</v>
      </c>
      <c r="N193">
        <f t="shared" si="73"/>
        <v>-0.959801353345782</v>
      </c>
      <c r="O193">
        <f t="shared" si="74"/>
        <v>-0.280680177632134</v>
      </c>
      <c r="P193">
        <f t="shared" si="75"/>
        <v>-0.284502700857655</v>
      </c>
      <c r="Q193">
        <f t="shared" si="76"/>
        <v>0.02929110515625</v>
      </c>
      <c r="R193">
        <f t="shared" si="77"/>
        <v>1.00085796884127</v>
      </c>
      <c r="S193">
        <f t="shared" si="78"/>
        <v>-13.22138601</v>
      </c>
      <c r="T193">
        <f t="shared" si="79"/>
        <v>42.7800434021156</v>
      </c>
      <c r="U193">
        <f t="shared" si="80"/>
        <v>5.66534591930469</v>
      </c>
      <c r="V193">
        <f t="shared" si="81"/>
        <v>-0.94534708769531</v>
      </c>
      <c r="W193">
        <f t="shared" si="82"/>
        <v>0.172894456200195</v>
      </c>
      <c r="X193">
        <f t="shared" si="83"/>
        <v>0.173767627925041</v>
      </c>
    </row>
    <row r="194" spans="3:24">
      <c r="C194" s="2">
        <v>810</v>
      </c>
      <c r="D194" s="2">
        <v>1386</v>
      </c>
      <c r="E194" s="4">
        <f t="shared" si="65"/>
        <v>-17.8467363061774</v>
      </c>
      <c r="F194" s="4">
        <f t="shared" si="84"/>
        <v>129.005721145412</v>
      </c>
      <c r="G194">
        <f t="shared" si="66"/>
        <v>0.208984375</v>
      </c>
      <c r="H194">
        <f t="shared" si="67"/>
        <v>-0.353515625</v>
      </c>
      <c r="I194">
        <f t="shared" si="68"/>
        <v>-0.054098877890625</v>
      </c>
      <c r="J194">
        <f t="shared" si="69"/>
        <v>1.00293312339386</v>
      </c>
      <c r="K194">
        <f t="shared" si="70"/>
        <v>-13.22138601</v>
      </c>
      <c r="L194">
        <f t="shared" si="71"/>
        <v>42.70126204</v>
      </c>
      <c r="M194">
        <f t="shared" si="72"/>
        <v>5.65881328739053</v>
      </c>
      <c r="N194">
        <f t="shared" si="73"/>
        <v>-0.951879719609468</v>
      </c>
      <c r="O194">
        <f t="shared" si="74"/>
        <v>-0.306471857429358</v>
      </c>
      <c r="P194">
        <f t="shared" si="75"/>
        <v>-0.311484309278006</v>
      </c>
      <c r="Q194">
        <f t="shared" si="76"/>
        <v>0.031981104609375</v>
      </c>
      <c r="R194">
        <f t="shared" si="77"/>
        <v>1.00102279105204</v>
      </c>
      <c r="S194">
        <f t="shared" si="78"/>
        <v>-13.22138601</v>
      </c>
      <c r="T194">
        <f t="shared" si="79"/>
        <v>42.7951870393962</v>
      </c>
      <c r="U194">
        <f t="shared" si="80"/>
        <v>5.67628386752684</v>
      </c>
      <c r="V194">
        <f t="shared" si="81"/>
        <v>-0.934409139473163</v>
      </c>
      <c r="W194">
        <f t="shared" si="82"/>
        <v>0.190710976178668</v>
      </c>
      <c r="X194">
        <f t="shared" si="83"/>
        <v>0.19188636489495</v>
      </c>
    </row>
    <row r="195" spans="3:24">
      <c r="C195" s="2">
        <v>816</v>
      </c>
      <c r="D195" s="2">
        <v>1403</v>
      </c>
      <c r="E195" s="4">
        <f t="shared" si="65"/>
        <v>-18.7318236943063</v>
      </c>
      <c r="F195" s="4">
        <f t="shared" si="84"/>
        <v>129.254696338724</v>
      </c>
      <c r="G195">
        <f t="shared" si="66"/>
        <v>0.203125</v>
      </c>
      <c r="H195">
        <f t="shared" si="67"/>
        <v>-0.3701171875</v>
      </c>
      <c r="I195">
        <f t="shared" si="68"/>
        <v>-0.0566394329296875</v>
      </c>
      <c r="J195">
        <f t="shared" si="69"/>
        <v>1.00321507873247</v>
      </c>
      <c r="K195">
        <f t="shared" si="70"/>
        <v>-13.22138601</v>
      </c>
      <c r="L195">
        <f t="shared" si="71"/>
        <v>42.70126204</v>
      </c>
      <c r="M195">
        <f t="shared" si="72"/>
        <v>5.66366095286319</v>
      </c>
      <c r="N195">
        <f t="shared" si="73"/>
        <v>-0.94703205413681</v>
      </c>
      <c r="O195">
        <f t="shared" si="74"/>
        <v>-0.321139048446953</v>
      </c>
      <c r="P195">
        <f t="shared" si="75"/>
        <v>-0.326931998368733</v>
      </c>
      <c r="Q195">
        <f t="shared" si="76"/>
        <v>0.031084438125</v>
      </c>
      <c r="R195">
        <f t="shared" si="77"/>
        <v>1.00096624229355</v>
      </c>
      <c r="S195">
        <f t="shared" si="78"/>
        <v>-13.22138601</v>
      </c>
      <c r="T195">
        <f t="shared" si="79"/>
        <v>42.8043923284374</v>
      </c>
      <c r="U195">
        <f t="shared" si="80"/>
        <v>5.68026651295683</v>
      </c>
      <c r="V195">
        <f t="shared" si="81"/>
        <v>-0.930426494043168</v>
      </c>
      <c r="W195">
        <f t="shared" si="82"/>
        <v>0.186443507289486</v>
      </c>
      <c r="X195">
        <f t="shared" si="83"/>
        <v>0.187540928015869</v>
      </c>
    </row>
    <row r="196" spans="3:24">
      <c r="C196" s="2">
        <v>854</v>
      </c>
      <c r="D196" s="2">
        <v>1415</v>
      </c>
      <c r="E196" s="4">
        <f t="shared" si="65"/>
        <v>-19.3608535373702</v>
      </c>
      <c r="F196" s="4">
        <f t="shared" si="84"/>
        <v>131.204484866789</v>
      </c>
      <c r="G196">
        <f t="shared" si="66"/>
        <v>0.166015625</v>
      </c>
      <c r="H196">
        <f t="shared" si="67"/>
        <v>-0.3818359375</v>
      </c>
      <c r="I196">
        <f t="shared" si="68"/>
        <v>-0.0584327658984375</v>
      </c>
      <c r="J196">
        <f t="shared" si="69"/>
        <v>1.00342189522281</v>
      </c>
      <c r="K196">
        <f t="shared" si="70"/>
        <v>-13.22138601</v>
      </c>
      <c r="L196">
        <f t="shared" si="71"/>
        <v>42.70126204</v>
      </c>
      <c r="M196">
        <f t="shared" si="72"/>
        <v>5.66724362522361</v>
      </c>
      <c r="N196">
        <f t="shared" si="73"/>
        <v>-0.943449381776391</v>
      </c>
      <c r="O196">
        <f t="shared" si="74"/>
        <v>-0.331516611990629</v>
      </c>
      <c r="P196">
        <f t="shared" si="75"/>
        <v>-0.337910640223502</v>
      </c>
      <c r="Q196">
        <f t="shared" si="76"/>
        <v>0.025405550390625</v>
      </c>
      <c r="R196">
        <f t="shared" si="77"/>
        <v>1.00064544199065</v>
      </c>
      <c r="S196">
        <f t="shared" si="78"/>
        <v>-13.22138601</v>
      </c>
      <c r="T196">
        <f t="shared" si="79"/>
        <v>42.8111653040257</v>
      </c>
      <c r="U196">
        <f t="shared" si="80"/>
        <v>5.67833825645219</v>
      </c>
      <c r="V196">
        <f t="shared" si="81"/>
        <v>-0.932354750547812</v>
      </c>
      <c r="W196">
        <f t="shared" si="82"/>
        <v>0.152908481555038</v>
      </c>
      <c r="X196">
        <f t="shared" si="83"/>
        <v>0.153510698483513</v>
      </c>
    </row>
    <row r="197" spans="3:24">
      <c r="C197" s="2">
        <v>863</v>
      </c>
      <c r="D197" s="2">
        <v>1385</v>
      </c>
      <c r="E197" s="4">
        <f t="shared" si="65"/>
        <v>-17.7948842883785</v>
      </c>
      <c r="F197" s="4">
        <f t="shared" si="84"/>
        <v>131.764812668593</v>
      </c>
      <c r="G197">
        <f t="shared" si="66"/>
        <v>0.1572265625</v>
      </c>
      <c r="H197">
        <f t="shared" si="67"/>
        <v>-0.3525390625</v>
      </c>
      <c r="I197">
        <f t="shared" si="68"/>
        <v>-0.0539494334765625</v>
      </c>
      <c r="J197">
        <f t="shared" si="69"/>
        <v>1.00291694067498</v>
      </c>
      <c r="K197">
        <f t="shared" si="70"/>
        <v>-13.22138601</v>
      </c>
      <c r="L197">
        <f t="shared" si="71"/>
        <v>42.70126204</v>
      </c>
      <c r="M197">
        <f t="shared" si="72"/>
        <v>5.6585363237386</v>
      </c>
      <c r="N197">
        <f t="shared" si="73"/>
        <v>-0.952156683261395</v>
      </c>
      <c r="O197">
        <f t="shared" si="74"/>
        <v>-0.305610291908925</v>
      </c>
      <c r="P197">
        <f t="shared" si="75"/>
        <v>-0.310579320843614</v>
      </c>
      <c r="Q197">
        <f t="shared" si="76"/>
        <v>0.0240605506640625</v>
      </c>
      <c r="R197">
        <f t="shared" si="77"/>
        <v>1.00057891009826</v>
      </c>
      <c r="S197">
        <f t="shared" si="78"/>
        <v>-13.22138601</v>
      </c>
      <c r="T197">
        <f t="shared" si="79"/>
        <v>42.7946596905207</v>
      </c>
      <c r="U197">
        <f t="shared" si="80"/>
        <v>5.66835453415697</v>
      </c>
      <c r="V197">
        <f t="shared" si="81"/>
        <v>-0.94233847284303</v>
      </c>
      <c r="W197">
        <f t="shared" si="82"/>
        <v>0.143236762785999</v>
      </c>
      <c r="X197">
        <f t="shared" si="83"/>
        <v>0.14373113345157</v>
      </c>
    </row>
    <row r="198" spans="3:24">
      <c r="C198" s="2">
        <v>850</v>
      </c>
      <c r="D198" s="2">
        <v>1372</v>
      </c>
      <c r="E198" s="4">
        <f t="shared" si="65"/>
        <v>-17.1228650656214</v>
      </c>
      <c r="F198" s="4">
        <f t="shared" si="84"/>
        <v>131.130730121272</v>
      </c>
      <c r="G198">
        <f t="shared" si="66"/>
        <v>0.169921875</v>
      </c>
      <c r="H198">
        <f t="shared" si="67"/>
        <v>-0.33984375</v>
      </c>
      <c r="I198">
        <f t="shared" si="68"/>
        <v>-0.05200665609375</v>
      </c>
      <c r="J198">
        <f t="shared" si="69"/>
        <v>1.0027106389876</v>
      </c>
      <c r="K198">
        <f t="shared" si="70"/>
        <v>-13.22138601</v>
      </c>
      <c r="L198">
        <f t="shared" si="71"/>
        <v>42.70126204</v>
      </c>
      <c r="M198">
        <f t="shared" si="72"/>
        <v>5.65501741117929</v>
      </c>
      <c r="N198">
        <f t="shared" si="73"/>
        <v>-0.955675595820709</v>
      </c>
      <c r="O198">
        <f t="shared" si="74"/>
        <v>-0.294421730775318</v>
      </c>
      <c r="P198">
        <f t="shared" si="75"/>
        <v>-0.298850372769809</v>
      </c>
      <c r="Q198">
        <f t="shared" si="76"/>
        <v>0.026003328046875</v>
      </c>
      <c r="R198">
        <f t="shared" si="77"/>
        <v>1.00067617306951</v>
      </c>
      <c r="S198">
        <f t="shared" si="78"/>
        <v>-13.22138601</v>
      </c>
      <c r="T198">
        <f t="shared" si="79"/>
        <v>42.7879461955527</v>
      </c>
      <c r="U198">
        <f t="shared" si="80"/>
        <v>5.66644470972706</v>
      </c>
      <c r="V198">
        <f t="shared" si="81"/>
        <v>-0.944248297272943</v>
      </c>
      <c r="W198">
        <f t="shared" si="82"/>
        <v>0.154180479904156</v>
      </c>
      <c r="X198">
        <f t="shared" si="83"/>
        <v>0.154797961631754</v>
      </c>
    </row>
    <row r="199" spans="3:24">
      <c r="C199" s="2">
        <v>843</v>
      </c>
      <c r="D199" s="2">
        <v>1385</v>
      </c>
      <c r="E199" s="4">
        <f t="shared" si="65"/>
        <v>-17.7948842883785</v>
      </c>
      <c r="F199" s="4">
        <f t="shared" si="84"/>
        <v>130.728986624334</v>
      </c>
      <c r="G199">
        <f t="shared" si="66"/>
        <v>0.1767578125</v>
      </c>
      <c r="H199">
        <f t="shared" si="67"/>
        <v>-0.3525390625</v>
      </c>
      <c r="I199">
        <f t="shared" si="68"/>
        <v>-0.0539494334765625</v>
      </c>
      <c r="J199">
        <f t="shared" si="69"/>
        <v>1.00291694067498</v>
      </c>
      <c r="K199">
        <f t="shared" si="70"/>
        <v>-13.22138601</v>
      </c>
      <c r="L199">
        <f t="shared" si="71"/>
        <v>42.70126204</v>
      </c>
      <c r="M199">
        <f t="shared" si="72"/>
        <v>5.6585363237386</v>
      </c>
      <c r="N199">
        <f t="shared" si="73"/>
        <v>-0.952156683261395</v>
      </c>
      <c r="O199">
        <f t="shared" si="74"/>
        <v>-0.305610291908925</v>
      </c>
      <c r="P199">
        <f t="shared" si="75"/>
        <v>-0.310579320843614</v>
      </c>
      <c r="Q199">
        <f t="shared" si="76"/>
        <v>0.0270494389453125</v>
      </c>
      <c r="R199">
        <f t="shared" si="77"/>
        <v>1.00073167214726</v>
      </c>
      <c r="S199">
        <f t="shared" si="78"/>
        <v>-13.22138601</v>
      </c>
      <c r="T199">
        <f t="shared" si="79"/>
        <v>42.7946596905207</v>
      </c>
      <c r="U199">
        <f t="shared" si="80"/>
        <v>5.67097401568451</v>
      </c>
      <c r="V199">
        <f t="shared" si="81"/>
        <v>-0.939718991315494</v>
      </c>
      <c r="W199">
        <f t="shared" si="82"/>
        <v>0.161104538261227</v>
      </c>
      <c r="X199">
        <f t="shared" si="83"/>
        <v>0.161809708401803</v>
      </c>
    </row>
    <row r="200" spans="3:24">
      <c r="C200" s="2">
        <v>849</v>
      </c>
      <c r="D200" s="2">
        <v>1390</v>
      </c>
      <c r="E200" s="4">
        <f t="shared" si="65"/>
        <v>-18.0543758541834</v>
      </c>
      <c r="F200" s="4">
        <f t="shared" si="84"/>
        <v>131.024688487095</v>
      </c>
      <c r="G200">
        <f t="shared" si="66"/>
        <v>0.1708984375</v>
      </c>
      <c r="H200">
        <f t="shared" si="67"/>
        <v>-0.357421875</v>
      </c>
      <c r="I200">
        <f t="shared" si="68"/>
        <v>-0.054696655546875</v>
      </c>
      <c r="J200">
        <f t="shared" si="69"/>
        <v>1.00299830192415</v>
      </c>
      <c r="K200">
        <f t="shared" si="70"/>
        <v>-13.22138601</v>
      </c>
      <c r="L200">
        <f t="shared" si="71"/>
        <v>42.70126204</v>
      </c>
      <c r="M200">
        <f t="shared" si="72"/>
        <v>5.65993018773026</v>
      </c>
      <c r="N200">
        <f t="shared" si="73"/>
        <v>-0.950762819269737</v>
      </c>
      <c r="O200">
        <f t="shared" si="74"/>
        <v>-0.309919443556322</v>
      </c>
      <c r="P200">
        <f t="shared" si="75"/>
        <v>-0.315108303048064</v>
      </c>
      <c r="Q200">
        <f t="shared" si="76"/>
        <v>0.0261527724609375</v>
      </c>
      <c r="R200">
        <f t="shared" si="77"/>
        <v>1.00068396750739</v>
      </c>
      <c r="S200">
        <f t="shared" si="78"/>
        <v>-13.22138601</v>
      </c>
      <c r="T200">
        <f t="shared" si="79"/>
        <v>42.7973121014943</v>
      </c>
      <c r="U200">
        <f t="shared" si="80"/>
        <v>5.6715716549515</v>
      </c>
      <c r="V200">
        <f t="shared" si="81"/>
        <v>-0.939121352048502</v>
      </c>
      <c r="W200">
        <f t="shared" si="82"/>
        <v>0.156008860180836</v>
      </c>
      <c r="X200">
        <f t="shared" si="83"/>
        <v>0.156648737292337</v>
      </c>
    </row>
    <row r="201" spans="3:24">
      <c r="C201" s="2">
        <v>850</v>
      </c>
      <c r="D201" s="2">
        <v>1394</v>
      </c>
      <c r="E201" s="4">
        <f t="shared" si="65"/>
        <v>-18.2623901852096</v>
      </c>
      <c r="F201" s="4">
        <f t="shared" si="84"/>
        <v>131.06406334776</v>
      </c>
      <c r="G201">
        <f t="shared" si="66"/>
        <v>0.169921875</v>
      </c>
      <c r="H201">
        <f t="shared" si="67"/>
        <v>-0.361328125</v>
      </c>
      <c r="I201">
        <f t="shared" si="68"/>
        <v>-0.055294433203125</v>
      </c>
      <c r="J201">
        <f t="shared" si="69"/>
        <v>1.00306419670202</v>
      </c>
      <c r="K201">
        <f t="shared" si="70"/>
        <v>-13.22138601</v>
      </c>
      <c r="L201">
        <f t="shared" si="71"/>
        <v>42.70126204</v>
      </c>
      <c r="M201">
        <f t="shared" si="72"/>
        <v>5.66106162452837</v>
      </c>
      <c r="N201">
        <f t="shared" si="73"/>
        <v>-0.949631382471632</v>
      </c>
      <c r="O201">
        <f t="shared" si="74"/>
        <v>-0.313369171146455</v>
      </c>
      <c r="P201">
        <f t="shared" si="75"/>
        <v>-0.318738838015804</v>
      </c>
      <c r="Q201">
        <f t="shared" si="76"/>
        <v>0.026003328046875</v>
      </c>
      <c r="R201">
        <f t="shared" si="77"/>
        <v>1.00067617306951</v>
      </c>
      <c r="S201">
        <f t="shared" si="78"/>
        <v>-13.22138601</v>
      </c>
      <c r="T201">
        <f t="shared" si="79"/>
        <v>42.799462277425</v>
      </c>
      <c r="U201">
        <f t="shared" si="80"/>
        <v>5.6725876471423</v>
      </c>
      <c r="V201">
        <f t="shared" si="81"/>
        <v>-0.9381053598577</v>
      </c>
      <c r="W201">
        <f t="shared" si="82"/>
        <v>0.155330017003803</v>
      </c>
      <c r="X201">
        <f t="shared" si="83"/>
        <v>0.155961516331236</v>
      </c>
    </row>
    <row r="202" spans="3:24">
      <c r="C202" s="2">
        <v>828</v>
      </c>
      <c r="D202" s="2">
        <v>1397</v>
      </c>
      <c r="E202" s="4">
        <f t="shared" si="65"/>
        <v>-18.4186504637651</v>
      </c>
      <c r="F202" s="4">
        <f t="shared" si="84"/>
        <v>129.906696873898</v>
      </c>
      <c r="G202">
        <f t="shared" si="66"/>
        <v>0.19140625</v>
      </c>
      <c r="H202">
        <f t="shared" si="67"/>
        <v>-0.3642578125</v>
      </c>
      <c r="I202">
        <f t="shared" si="68"/>
        <v>-0.0557427664453125</v>
      </c>
      <c r="J202">
        <f t="shared" si="69"/>
        <v>1.00311408782291</v>
      </c>
      <c r="K202">
        <f t="shared" si="70"/>
        <v>-13.22138601</v>
      </c>
      <c r="L202">
        <f t="shared" si="71"/>
        <v>42.70126204</v>
      </c>
      <c r="M202">
        <f t="shared" si="72"/>
        <v>5.66191979317345</v>
      </c>
      <c r="N202">
        <f t="shared" si="73"/>
        <v>-0.948773213826552</v>
      </c>
      <c r="O202">
        <f t="shared" si="74"/>
        <v>-0.315957890746909</v>
      </c>
      <c r="P202">
        <f t="shared" si="75"/>
        <v>-0.321466094366681</v>
      </c>
      <c r="Q202">
        <f t="shared" si="76"/>
        <v>0.02929110515625</v>
      </c>
      <c r="R202">
        <f t="shared" si="77"/>
        <v>1.00085796884127</v>
      </c>
      <c r="S202">
        <f t="shared" si="78"/>
        <v>-13.22138601</v>
      </c>
      <c r="T202">
        <f t="shared" si="79"/>
        <v>42.8010914287252</v>
      </c>
      <c r="U202">
        <f t="shared" si="80"/>
        <v>5.67660332000331</v>
      </c>
      <c r="V202">
        <f t="shared" si="81"/>
        <v>-0.934089686996693</v>
      </c>
      <c r="W202">
        <f t="shared" si="82"/>
        <v>0.175251653702306</v>
      </c>
      <c r="X202">
        <f t="shared" si="83"/>
        <v>0.176161371952319</v>
      </c>
    </row>
    <row r="203" spans="3:24">
      <c r="C203" s="2">
        <v>814</v>
      </c>
      <c r="D203" s="2">
        <v>1404</v>
      </c>
      <c r="E203" s="4">
        <f t="shared" si="65"/>
        <v>-18.7841049502281</v>
      </c>
      <c r="F203" s="4">
        <f t="shared" si="84"/>
        <v>129.14551464016</v>
      </c>
      <c r="G203">
        <f t="shared" si="66"/>
        <v>0.205078125</v>
      </c>
      <c r="H203">
        <f t="shared" si="67"/>
        <v>-0.37109375</v>
      </c>
      <c r="I203">
        <f t="shared" si="68"/>
        <v>-0.05678887734375</v>
      </c>
      <c r="J203">
        <f t="shared" si="69"/>
        <v>1.00323206722989</v>
      </c>
      <c r="K203">
        <f t="shared" si="70"/>
        <v>-13.22138601</v>
      </c>
      <c r="L203">
        <f t="shared" si="71"/>
        <v>42.70126204</v>
      </c>
      <c r="M203">
        <f t="shared" si="72"/>
        <v>5.66395438005726</v>
      </c>
      <c r="N203">
        <f t="shared" si="73"/>
        <v>-0.94673862694274</v>
      </c>
      <c r="O203">
        <f t="shared" si="74"/>
        <v>-0.32200306249254</v>
      </c>
      <c r="P203">
        <f t="shared" si="75"/>
        <v>-0.327844478421645</v>
      </c>
      <c r="Q203">
        <f t="shared" si="76"/>
        <v>0.031383326953125</v>
      </c>
      <c r="R203">
        <f t="shared" si="77"/>
        <v>1.00098491321065</v>
      </c>
      <c r="S203">
        <f t="shared" si="78"/>
        <v>-13.22138601</v>
      </c>
      <c r="T203">
        <f t="shared" si="79"/>
        <v>42.8049480122546</v>
      </c>
      <c r="U203">
        <f t="shared" si="80"/>
        <v>5.68089284385584</v>
      </c>
      <c r="V203">
        <f t="shared" si="81"/>
        <v>-0.929800163144159</v>
      </c>
      <c r="W203">
        <f t="shared" si="82"/>
        <v>0.188315334723615</v>
      </c>
      <c r="X203">
        <f t="shared" si="83"/>
        <v>0.189446508138729</v>
      </c>
    </row>
    <row r="204" spans="3:24">
      <c r="C204" s="2">
        <v>805</v>
      </c>
      <c r="D204" s="2">
        <v>1394</v>
      </c>
      <c r="E204" s="4">
        <f t="shared" si="65"/>
        <v>-18.2623901852096</v>
      </c>
      <c r="F204" s="4">
        <f t="shared" si="84"/>
        <v>128.712197907649</v>
      </c>
      <c r="G204">
        <f t="shared" si="66"/>
        <v>0.2138671875</v>
      </c>
      <c r="H204">
        <f t="shared" si="67"/>
        <v>-0.361328125</v>
      </c>
      <c r="I204">
        <f t="shared" si="68"/>
        <v>-0.055294433203125</v>
      </c>
      <c r="J204">
        <f t="shared" si="69"/>
        <v>1.00306419670202</v>
      </c>
      <c r="K204">
        <f t="shared" si="70"/>
        <v>-13.22138601</v>
      </c>
      <c r="L204">
        <f t="shared" si="71"/>
        <v>42.70126204</v>
      </c>
      <c r="M204">
        <f t="shared" si="72"/>
        <v>5.66106162452837</v>
      </c>
      <c r="N204">
        <f t="shared" si="73"/>
        <v>-0.949631382471632</v>
      </c>
      <c r="O204">
        <f t="shared" si="74"/>
        <v>-0.313369171146455</v>
      </c>
      <c r="P204">
        <f t="shared" si="75"/>
        <v>-0.318738838015804</v>
      </c>
      <c r="Q204">
        <f t="shared" si="76"/>
        <v>0.0327283266796875</v>
      </c>
      <c r="R204">
        <f t="shared" si="77"/>
        <v>1.00107114336725</v>
      </c>
      <c r="S204">
        <f t="shared" si="78"/>
        <v>-13.22138601</v>
      </c>
      <c r="T204">
        <f t="shared" si="79"/>
        <v>42.799462277425</v>
      </c>
      <c r="U204">
        <f t="shared" si="80"/>
        <v>5.67943095970767</v>
      </c>
      <c r="V204">
        <f t="shared" si="81"/>
        <v>-0.931262047292327</v>
      </c>
      <c r="W204">
        <f t="shared" si="82"/>
        <v>0.195737373169372</v>
      </c>
      <c r="X204">
        <f t="shared" si="83"/>
        <v>0.197009311825034</v>
      </c>
    </row>
    <row r="205" spans="3:24">
      <c r="C205" s="2">
        <v>771</v>
      </c>
      <c r="D205" s="2">
        <v>1385</v>
      </c>
      <c r="E205" s="4">
        <f t="shared" si="65"/>
        <v>-17.7948842883785</v>
      </c>
      <c r="F205" s="4">
        <f t="shared" si="84"/>
        <v>126.95761946167</v>
      </c>
      <c r="G205">
        <f t="shared" si="66"/>
        <v>0.2470703125</v>
      </c>
      <c r="H205">
        <f t="shared" si="67"/>
        <v>-0.3525390625</v>
      </c>
      <c r="I205">
        <f t="shared" si="68"/>
        <v>-0.0539494334765625</v>
      </c>
      <c r="J205">
        <f t="shared" si="69"/>
        <v>1.00291694067498</v>
      </c>
      <c r="K205">
        <f t="shared" si="70"/>
        <v>-13.22138601</v>
      </c>
      <c r="L205">
        <f t="shared" si="71"/>
        <v>42.70126204</v>
      </c>
      <c r="M205">
        <f t="shared" si="72"/>
        <v>5.6585363237386</v>
      </c>
      <c r="N205">
        <f t="shared" si="73"/>
        <v>-0.952156683261395</v>
      </c>
      <c r="O205">
        <f t="shared" si="74"/>
        <v>-0.305610291908925</v>
      </c>
      <c r="P205">
        <f t="shared" si="75"/>
        <v>-0.310579320843614</v>
      </c>
      <c r="Q205">
        <f t="shared" si="76"/>
        <v>0.0378094367578125</v>
      </c>
      <c r="R205">
        <f t="shared" si="77"/>
        <v>1.00142955350794</v>
      </c>
      <c r="S205">
        <f t="shared" si="78"/>
        <v>-13.22138601</v>
      </c>
      <c r="T205">
        <f t="shared" si="79"/>
        <v>42.7946596905207</v>
      </c>
      <c r="U205">
        <f t="shared" si="80"/>
        <v>5.68309872267557</v>
      </c>
      <c r="V205">
        <f t="shared" si="81"/>
        <v>-0.927594284324434</v>
      </c>
      <c r="W205">
        <f t="shared" si="82"/>
        <v>0.225671714723686</v>
      </c>
      <c r="X205">
        <f t="shared" si="83"/>
        <v>0.227632482691885</v>
      </c>
    </row>
    <row r="206" spans="3:24">
      <c r="C206" s="2">
        <v>759</v>
      </c>
      <c r="D206" s="2">
        <v>1397</v>
      </c>
      <c r="E206" s="4">
        <f t="shared" si="65"/>
        <v>-18.4186504637651</v>
      </c>
      <c r="F206" s="4">
        <f t="shared" si="84"/>
        <v>126.262897063063</v>
      </c>
      <c r="G206">
        <f t="shared" si="66"/>
        <v>0.2587890625</v>
      </c>
      <c r="H206">
        <f t="shared" si="67"/>
        <v>-0.3642578125</v>
      </c>
      <c r="I206">
        <f t="shared" si="68"/>
        <v>-0.0557427664453125</v>
      </c>
      <c r="J206">
        <f t="shared" si="69"/>
        <v>1.00311408782291</v>
      </c>
      <c r="K206">
        <f t="shared" si="70"/>
        <v>-13.22138601</v>
      </c>
      <c r="L206">
        <f t="shared" si="71"/>
        <v>42.70126204</v>
      </c>
      <c r="M206">
        <f t="shared" si="72"/>
        <v>5.66191979317345</v>
      </c>
      <c r="N206">
        <f t="shared" si="73"/>
        <v>-0.948773213826552</v>
      </c>
      <c r="O206">
        <f t="shared" si="74"/>
        <v>-0.315957890746909</v>
      </c>
      <c r="P206">
        <f t="shared" si="75"/>
        <v>-0.321466094366681</v>
      </c>
      <c r="Q206">
        <f t="shared" si="76"/>
        <v>0.0396027697265625</v>
      </c>
      <c r="R206">
        <f t="shared" si="77"/>
        <v>1.00156837937002</v>
      </c>
      <c r="S206">
        <f t="shared" si="78"/>
        <v>-13.22138601</v>
      </c>
      <c r="T206">
        <f t="shared" si="79"/>
        <v>42.8010914287252</v>
      </c>
      <c r="U206">
        <f t="shared" si="80"/>
        <v>5.68905893159723</v>
      </c>
      <c r="V206">
        <f t="shared" si="81"/>
        <v>-0.921634075402772</v>
      </c>
      <c r="W206">
        <f t="shared" si="82"/>
        <v>0.237467240883762</v>
      </c>
      <c r="X206">
        <f t="shared" si="83"/>
        <v>0.239757675934939</v>
      </c>
    </row>
    <row r="207" spans="3:24">
      <c r="C207" s="2">
        <v>790</v>
      </c>
      <c r="D207" s="2">
        <v>1410</v>
      </c>
      <c r="E207" s="4">
        <f t="shared" si="65"/>
        <v>-19.0983155751938</v>
      </c>
      <c r="F207" s="4">
        <f t="shared" si="84"/>
        <v>127.8510062017</v>
      </c>
      <c r="G207">
        <f t="shared" si="66"/>
        <v>0.228515625</v>
      </c>
      <c r="H207">
        <f t="shared" si="67"/>
        <v>-0.376953125</v>
      </c>
      <c r="I207">
        <f t="shared" si="68"/>
        <v>-0.057685543828125</v>
      </c>
      <c r="J207">
        <f t="shared" si="69"/>
        <v>1.00333493828937</v>
      </c>
      <c r="K207">
        <f t="shared" si="70"/>
        <v>-13.22138601</v>
      </c>
      <c r="L207">
        <f t="shared" si="71"/>
        <v>42.70126204</v>
      </c>
      <c r="M207">
        <f t="shared" si="72"/>
        <v>5.66573447545071</v>
      </c>
      <c r="N207">
        <f t="shared" si="73"/>
        <v>-0.944958531549286</v>
      </c>
      <c r="O207">
        <f t="shared" si="74"/>
        <v>-0.327190118512489</v>
      </c>
      <c r="P207">
        <f t="shared" si="75"/>
        <v>-0.333328488372047</v>
      </c>
      <c r="Q207">
        <f t="shared" si="76"/>
        <v>0.034969992890625</v>
      </c>
      <c r="R207">
        <f t="shared" si="77"/>
        <v>1.00122290040277</v>
      </c>
      <c r="S207">
        <f t="shared" si="78"/>
        <v>-13.22138601</v>
      </c>
      <c r="T207">
        <f t="shared" si="79"/>
        <v>42.8083154136522</v>
      </c>
      <c r="U207">
        <f t="shared" si="80"/>
        <v>5.68689811274753</v>
      </c>
      <c r="V207">
        <f t="shared" si="81"/>
        <v>-0.923794894252466</v>
      </c>
      <c r="W207">
        <f t="shared" si="82"/>
        <v>0.210454591635677</v>
      </c>
      <c r="X207">
        <f t="shared" si="83"/>
        <v>0.212039942584714</v>
      </c>
    </row>
    <row r="208" spans="3:24">
      <c r="C208" s="2">
        <v>806</v>
      </c>
      <c r="D208" s="2">
        <v>1422</v>
      </c>
      <c r="E208" s="4">
        <f t="shared" si="65"/>
        <v>-19.7294944044329</v>
      </c>
      <c r="F208" s="4">
        <f t="shared" si="84"/>
        <v>128.646658894615</v>
      </c>
      <c r="G208">
        <f t="shared" si="66"/>
        <v>0.212890625</v>
      </c>
      <c r="H208">
        <f t="shared" si="67"/>
        <v>-0.388671875</v>
      </c>
      <c r="I208">
        <f t="shared" si="68"/>
        <v>-0.059478876796875</v>
      </c>
      <c r="J208">
        <f t="shared" si="69"/>
        <v>1.00354551507953</v>
      </c>
      <c r="K208">
        <f t="shared" si="70"/>
        <v>-13.22138601</v>
      </c>
      <c r="L208">
        <f t="shared" si="71"/>
        <v>42.70126204</v>
      </c>
      <c r="M208">
        <f t="shared" si="72"/>
        <v>5.66939611495414</v>
      </c>
      <c r="N208">
        <f t="shared" si="73"/>
        <v>-0.941296892045858</v>
      </c>
      <c r="O208">
        <f t="shared" si="74"/>
        <v>-0.337579858736875</v>
      </c>
      <c r="P208">
        <f t="shared" si="75"/>
        <v>-0.344344637111152</v>
      </c>
      <c r="Q208">
        <f t="shared" si="76"/>
        <v>0.032578882265625</v>
      </c>
      <c r="R208">
        <f t="shared" si="77"/>
        <v>1.00106138356968</v>
      </c>
      <c r="S208">
        <f t="shared" si="78"/>
        <v>-13.22138601</v>
      </c>
      <c r="T208">
        <f t="shared" si="79"/>
        <v>42.8152222010248</v>
      </c>
      <c r="U208">
        <f t="shared" si="80"/>
        <v>5.68781558942532</v>
      </c>
      <c r="V208">
        <f t="shared" si="81"/>
        <v>-0.922877417574683</v>
      </c>
      <c r="W208">
        <f t="shared" si="82"/>
        <v>0.196858989786275</v>
      </c>
      <c r="X208">
        <f t="shared" si="83"/>
        <v>0.198153183390976</v>
      </c>
    </row>
    <row r="209" spans="3:24">
      <c r="C209" s="2">
        <v>801</v>
      </c>
      <c r="D209" s="2">
        <v>1432</v>
      </c>
      <c r="E209" s="4">
        <f t="shared" si="65"/>
        <v>-20.2583890827548</v>
      </c>
      <c r="F209" s="4">
        <f t="shared" si="84"/>
        <v>128.334492953848</v>
      </c>
      <c r="G209">
        <f t="shared" si="66"/>
        <v>0.2177734375</v>
      </c>
      <c r="H209">
        <f t="shared" si="67"/>
        <v>-0.3984375</v>
      </c>
      <c r="I209">
        <f t="shared" si="68"/>
        <v>-0.0609733209375</v>
      </c>
      <c r="J209">
        <f t="shared" si="69"/>
        <v>1.00372591994014</v>
      </c>
      <c r="K209">
        <f t="shared" si="70"/>
        <v>-13.22138601</v>
      </c>
      <c r="L209">
        <f t="shared" si="71"/>
        <v>42.70126204</v>
      </c>
      <c r="M209">
        <f t="shared" si="72"/>
        <v>5.67255235859485</v>
      </c>
      <c r="N209">
        <f t="shared" si="73"/>
        <v>-0.938140648405154</v>
      </c>
      <c r="O209">
        <f t="shared" si="74"/>
        <v>-0.346254420635978</v>
      </c>
      <c r="P209">
        <f t="shared" si="75"/>
        <v>-0.353575590644146</v>
      </c>
      <c r="Q209">
        <f t="shared" si="76"/>
        <v>0.0333261043359375</v>
      </c>
      <c r="R209">
        <f t="shared" si="77"/>
        <v>1.00111062923021</v>
      </c>
      <c r="S209">
        <f t="shared" si="78"/>
        <v>-13.22138601</v>
      </c>
      <c r="T209">
        <f t="shared" si="79"/>
        <v>42.82115416381</v>
      </c>
      <c r="U209">
        <f t="shared" si="80"/>
        <v>5.69192992172751</v>
      </c>
      <c r="V209">
        <f t="shared" si="81"/>
        <v>-0.918763085272488</v>
      </c>
      <c r="W209">
        <f t="shared" si="82"/>
        <v>0.202197751223769</v>
      </c>
      <c r="X209">
        <f t="shared" si="83"/>
        <v>0.203601506869945</v>
      </c>
    </row>
    <row r="210" spans="3:24">
      <c r="C210" s="2">
        <v>794</v>
      </c>
      <c r="D210" s="2">
        <v>1440</v>
      </c>
      <c r="E210" s="4">
        <f t="shared" si="65"/>
        <v>-20.6834860577252</v>
      </c>
      <c r="F210" s="4">
        <f t="shared" si="84"/>
        <v>127.92056363576</v>
      </c>
      <c r="G210">
        <f t="shared" si="66"/>
        <v>0.224609375</v>
      </c>
      <c r="H210">
        <f t="shared" si="67"/>
        <v>-0.40625</v>
      </c>
      <c r="I210">
        <f t="shared" si="68"/>
        <v>-0.06216887625</v>
      </c>
      <c r="J210">
        <f t="shared" si="69"/>
        <v>1.00387346694277</v>
      </c>
      <c r="K210">
        <f t="shared" si="70"/>
        <v>-13.22138601</v>
      </c>
      <c r="L210">
        <f t="shared" si="71"/>
        <v>42.70126204</v>
      </c>
      <c r="M210">
        <f t="shared" si="72"/>
        <v>5.67514713556474</v>
      </c>
      <c r="N210">
        <f t="shared" si="73"/>
        <v>-0.935545871435259</v>
      </c>
      <c r="O210">
        <f t="shared" si="74"/>
        <v>-0.353205212929313</v>
      </c>
      <c r="P210">
        <f t="shared" si="75"/>
        <v>-0.360994932497646</v>
      </c>
      <c r="Q210">
        <f t="shared" si="76"/>
        <v>0.034372215234375</v>
      </c>
      <c r="R210">
        <f t="shared" si="77"/>
        <v>1.00118144918012</v>
      </c>
      <c r="S210">
        <f t="shared" si="78"/>
        <v>-13.22138601</v>
      </c>
      <c r="T210">
        <f t="shared" si="79"/>
        <v>42.8260159624404</v>
      </c>
      <c r="U210">
        <f t="shared" si="80"/>
        <v>5.69586161190884</v>
      </c>
      <c r="V210">
        <f t="shared" si="81"/>
        <v>-0.914831395091163</v>
      </c>
      <c r="W210">
        <f t="shared" si="82"/>
        <v>0.209267619926841</v>
      </c>
      <c r="X210">
        <f t="shared" si="83"/>
        <v>0.210825936341122</v>
      </c>
    </row>
    <row r="211" spans="3:24">
      <c r="C211" s="2">
        <v>806</v>
      </c>
      <c r="D211" s="2">
        <v>1448</v>
      </c>
      <c r="E211" s="4">
        <f t="shared" si="65"/>
        <v>-21.1104038512127</v>
      </c>
      <c r="F211" s="4">
        <f t="shared" si="84"/>
        <v>128.525313870479</v>
      </c>
      <c r="G211">
        <f t="shared" si="66"/>
        <v>0.212890625</v>
      </c>
      <c r="H211">
        <f t="shared" si="67"/>
        <v>-0.4140625</v>
      </c>
      <c r="I211">
        <f t="shared" si="68"/>
        <v>-0.0633644315625</v>
      </c>
      <c r="J211">
        <f t="shared" si="69"/>
        <v>1.00402387893574</v>
      </c>
      <c r="K211">
        <f t="shared" si="70"/>
        <v>-13.22138601</v>
      </c>
      <c r="L211">
        <f t="shared" si="71"/>
        <v>42.70126204</v>
      </c>
      <c r="M211">
        <f t="shared" si="72"/>
        <v>5.67780485630023</v>
      </c>
      <c r="N211">
        <f t="shared" si="73"/>
        <v>-0.932888150699766</v>
      </c>
      <c r="O211">
        <f t="shared" si="74"/>
        <v>-0.360166209247857</v>
      </c>
      <c r="P211">
        <f t="shared" si="75"/>
        <v>-0.368446053629353</v>
      </c>
      <c r="Q211">
        <f t="shared" si="76"/>
        <v>0.032578882265625</v>
      </c>
      <c r="R211">
        <f t="shared" si="77"/>
        <v>1.00106138356968</v>
      </c>
      <c r="S211">
        <f t="shared" si="78"/>
        <v>-13.22138601</v>
      </c>
      <c r="T211">
        <f t="shared" si="79"/>
        <v>42.830981738284</v>
      </c>
      <c r="U211">
        <f t="shared" si="80"/>
        <v>5.69645077928143</v>
      </c>
      <c r="V211">
        <f t="shared" si="81"/>
        <v>-0.914242227718574</v>
      </c>
      <c r="W211">
        <f t="shared" si="82"/>
        <v>0.198934974061053</v>
      </c>
      <c r="X211">
        <f t="shared" si="83"/>
        <v>0.200271053593066</v>
      </c>
    </row>
    <row r="212" spans="3:24">
      <c r="C212" s="2">
        <v>835</v>
      </c>
      <c r="D212" s="2">
        <v>1460</v>
      </c>
      <c r="E212" s="4">
        <f t="shared" si="65"/>
        <v>-21.7543193731015</v>
      </c>
      <c r="F212" s="4">
        <f t="shared" si="84"/>
        <v>130.024994427967</v>
      </c>
      <c r="G212">
        <f t="shared" si="66"/>
        <v>0.1845703125</v>
      </c>
      <c r="H212">
        <f t="shared" si="67"/>
        <v>-0.42578125</v>
      </c>
      <c r="I212">
        <f t="shared" si="68"/>
        <v>-0.06515776453125</v>
      </c>
      <c r="J212">
        <f t="shared" si="69"/>
        <v>1.00425486878209</v>
      </c>
      <c r="K212">
        <f t="shared" si="70"/>
        <v>-13.22138601</v>
      </c>
      <c r="L212">
        <f t="shared" si="71"/>
        <v>42.70126204</v>
      </c>
      <c r="M212">
        <f t="shared" si="72"/>
        <v>5.6819113920855</v>
      </c>
      <c r="N212">
        <f t="shared" si="73"/>
        <v>-0.928781614914497</v>
      </c>
      <c r="O212">
        <f t="shared" si="74"/>
        <v>-0.370627456884699</v>
      </c>
      <c r="P212">
        <f t="shared" si="75"/>
        <v>-0.37968449959101</v>
      </c>
      <c r="Q212">
        <f t="shared" si="76"/>
        <v>0.0282449942578125</v>
      </c>
      <c r="R212">
        <f t="shared" si="77"/>
        <v>1.00079777970062</v>
      </c>
      <c r="S212">
        <f t="shared" si="78"/>
        <v>-13.22138601</v>
      </c>
      <c r="T212">
        <f t="shared" si="79"/>
        <v>42.8386267517968</v>
      </c>
      <c r="U212">
        <f t="shared" si="80"/>
        <v>5.69595140228108</v>
      </c>
      <c r="V212">
        <f t="shared" si="81"/>
        <v>-0.914741604718923</v>
      </c>
      <c r="W212">
        <f t="shared" si="82"/>
        <v>0.173218553485986</v>
      </c>
      <c r="X212">
        <f t="shared" si="83"/>
        <v>0.174096690136759</v>
      </c>
    </row>
    <row r="213" spans="3:24">
      <c r="C213" s="2">
        <v>868</v>
      </c>
      <c r="D213" s="2">
        <v>1469</v>
      </c>
      <c r="E213" s="4">
        <f t="shared" si="65"/>
        <v>-22.240148171476</v>
      </c>
      <c r="F213" s="4">
        <f t="shared" si="84"/>
        <v>131.753504404112</v>
      </c>
      <c r="G213">
        <f t="shared" si="66"/>
        <v>0.15234375</v>
      </c>
      <c r="H213">
        <f t="shared" si="67"/>
        <v>-0.4345703125</v>
      </c>
      <c r="I213">
        <f t="shared" si="68"/>
        <v>-0.0665027642578125</v>
      </c>
      <c r="J213">
        <f t="shared" si="69"/>
        <v>1.00443234150415</v>
      </c>
      <c r="K213">
        <f t="shared" si="70"/>
        <v>-13.22138601</v>
      </c>
      <c r="L213">
        <f t="shared" si="71"/>
        <v>42.70126204</v>
      </c>
      <c r="M213">
        <f t="shared" si="72"/>
        <v>5.68508740922974</v>
      </c>
      <c r="N213">
        <f t="shared" si="73"/>
        <v>-0.925605597770261</v>
      </c>
      <c r="O213">
        <f t="shared" si="74"/>
        <v>-0.378489467986043</v>
      </c>
      <c r="P213">
        <f t="shared" si="75"/>
        <v>-0.388163811723653</v>
      </c>
      <c r="Q213">
        <f t="shared" si="76"/>
        <v>0.02331332859375</v>
      </c>
      <c r="R213">
        <f t="shared" si="77"/>
        <v>1.00054351129012</v>
      </c>
      <c r="S213">
        <f t="shared" si="78"/>
        <v>-13.22138601</v>
      </c>
      <c r="T213">
        <f t="shared" si="79"/>
        <v>42.8445163173764</v>
      </c>
      <c r="U213">
        <f t="shared" si="80"/>
        <v>5.69465802165893</v>
      </c>
      <c r="V213">
        <f t="shared" si="81"/>
        <v>-0.916034985341071</v>
      </c>
      <c r="W213">
        <f t="shared" si="82"/>
        <v>0.143432091289003</v>
      </c>
      <c r="X213">
        <f t="shared" si="83"/>
        <v>0.143928499899453</v>
      </c>
    </row>
    <row r="214" spans="3:24">
      <c r="C214" s="2">
        <v>889</v>
      </c>
      <c r="D214" s="2">
        <v>1477</v>
      </c>
      <c r="E214" s="4">
        <f t="shared" si="65"/>
        <v>-22.6741556080717</v>
      </c>
      <c r="F214" s="4">
        <f t="shared" si="84"/>
        <v>132.846718044051</v>
      </c>
      <c r="G214">
        <f t="shared" si="66"/>
        <v>0.1318359375</v>
      </c>
      <c r="H214">
        <f t="shared" si="67"/>
        <v>-0.4423828125</v>
      </c>
      <c r="I214">
        <f t="shared" si="68"/>
        <v>-0.0676983195703125</v>
      </c>
      <c r="J214">
        <f t="shared" si="69"/>
        <v>1.00459313908711</v>
      </c>
      <c r="K214">
        <f t="shared" si="70"/>
        <v>-13.22138601</v>
      </c>
      <c r="L214">
        <f t="shared" si="71"/>
        <v>42.70126204</v>
      </c>
      <c r="M214">
        <f t="shared" si="72"/>
        <v>5.68798094086604</v>
      </c>
      <c r="N214">
        <f t="shared" si="73"/>
        <v>-0.922712066133959</v>
      </c>
      <c r="O214">
        <f t="shared" si="74"/>
        <v>-0.385489874070385</v>
      </c>
      <c r="P214">
        <f t="shared" si="75"/>
        <v>-0.395738670470388</v>
      </c>
      <c r="Q214">
        <f t="shared" si="76"/>
        <v>0.0201749958984375</v>
      </c>
      <c r="R214">
        <f t="shared" si="77"/>
        <v>1.0004070304595</v>
      </c>
      <c r="S214">
        <f t="shared" si="78"/>
        <v>-13.22138601</v>
      </c>
      <c r="T214">
        <f t="shared" si="79"/>
        <v>42.8498644830108</v>
      </c>
      <c r="U214">
        <f t="shared" si="80"/>
        <v>5.69516280917373</v>
      </c>
      <c r="V214">
        <f t="shared" si="81"/>
        <v>-0.915530197826269</v>
      </c>
      <c r="W214">
        <f t="shared" si="82"/>
        <v>0.124524237845161</v>
      </c>
      <c r="X214">
        <f t="shared" si="83"/>
        <v>0.124848322454813</v>
      </c>
    </row>
    <row r="215" spans="3:24">
      <c r="C215" s="2">
        <v>921</v>
      </c>
      <c r="D215" s="2">
        <v>1487</v>
      </c>
      <c r="E215" s="4">
        <f t="shared" si="65"/>
        <v>-23.2196236532939</v>
      </c>
      <c r="F215" s="4">
        <f t="shared" si="84"/>
        <v>134.525469245532</v>
      </c>
      <c r="G215">
        <f t="shared" si="66"/>
        <v>0.1005859375</v>
      </c>
      <c r="H215">
        <f t="shared" si="67"/>
        <v>-0.4521484375</v>
      </c>
      <c r="I215">
        <f t="shared" si="68"/>
        <v>-0.0691927637109375</v>
      </c>
      <c r="J215">
        <f t="shared" si="69"/>
        <v>1.00479816495848</v>
      </c>
      <c r="K215">
        <f t="shared" si="70"/>
        <v>-13.22138601</v>
      </c>
      <c r="L215">
        <f t="shared" si="71"/>
        <v>42.70126204</v>
      </c>
      <c r="M215">
        <f t="shared" si="72"/>
        <v>5.69169264571598</v>
      </c>
      <c r="N215">
        <f t="shared" si="73"/>
        <v>-0.919000361284024</v>
      </c>
      <c r="O215">
        <f t="shared" si="74"/>
        <v>-0.394256687907553</v>
      </c>
      <c r="P215">
        <f t="shared" si="75"/>
        <v>-0.405258883823933</v>
      </c>
      <c r="Q215">
        <f t="shared" si="76"/>
        <v>0.0153927746484375</v>
      </c>
      <c r="R215">
        <f t="shared" si="77"/>
        <v>1.00023693751138</v>
      </c>
      <c r="S215">
        <f t="shared" si="78"/>
        <v>-13.22138601</v>
      </c>
      <c r="T215">
        <f t="shared" si="79"/>
        <v>42.8567003759598</v>
      </c>
      <c r="U215">
        <f t="shared" si="80"/>
        <v>5.69588447693156</v>
      </c>
      <c r="V215">
        <f t="shared" si="81"/>
        <v>-0.914808530068439</v>
      </c>
      <c r="W215">
        <f t="shared" si="82"/>
        <v>0.0954032673646973</v>
      </c>
      <c r="X215">
        <f t="shared" si="83"/>
        <v>0.0955485866671527</v>
      </c>
    </row>
    <row r="216" spans="3:24">
      <c r="C216" s="2">
        <v>942</v>
      </c>
      <c r="D216" s="2">
        <v>1496</v>
      </c>
      <c r="E216" s="4">
        <f t="shared" si="65"/>
        <v>-23.7134545882665</v>
      </c>
      <c r="F216" s="4">
        <f t="shared" si="84"/>
        <v>135.626237286591</v>
      </c>
      <c r="G216">
        <f t="shared" si="66"/>
        <v>0.080078125</v>
      </c>
      <c r="H216">
        <f t="shared" si="67"/>
        <v>-0.4609375</v>
      </c>
      <c r="I216">
        <f t="shared" si="68"/>
        <v>-0.0705377634375</v>
      </c>
      <c r="J216">
        <f t="shared" si="69"/>
        <v>1.00498651569075</v>
      </c>
      <c r="K216">
        <f t="shared" si="70"/>
        <v>-13.22138601</v>
      </c>
      <c r="L216">
        <f t="shared" si="71"/>
        <v>42.70126204</v>
      </c>
      <c r="M216">
        <f t="shared" si="72"/>
        <v>5.69512482704225</v>
      </c>
      <c r="N216">
        <f t="shared" si="73"/>
        <v>-0.915568179957751</v>
      </c>
      <c r="O216">
        <f t="shared" si="74"/>
        <v>-0.402162787747512</v>
      </c>
      <c r="P216">
        <f t="shared" si="75"/>
        <v>-0.413877859587407</v>
      </c>
      <c r="Q216">
        <f t="shared" si="76"/>
        <v>0.012254441953125</v>
      </c>
      <c r="R216">
        <f t="shared" si="77"/>
        <v>1.00015017134758</v>
      </c>
      <c r="S216">
        <f t="shared" si="78"/>
        <v>-13.22138601</v>
      </c>
      <c r="T216">
        <f t="shared" si="79"/>
        <v>42.8629969478489</v>
      </c>
      <c r="U216">
        <f t="shared" si="80"/>
        <v>5.6977911635535</v>
      </c>
      <c r="V216">
        <f t="shared" si="81"/>
        <v>-0.912901843446502</v>
      </c>
      <c r="W216">
        <f t="shared" si="82"/>
        <v>0.0762624426855333</v>
      </c>
      <c r="X216">
        <f t="shared" si="83"/>
        <v>0.0763365600499471</v>
      </c>
    </row>
    <row r="217" spans="3:24">
      <c r="C217" s="2">
        <v>974</v>
      </c>
      <c r="D217" s="2">
        <v>1508</v>
      </c>
      <c r="E217" s="4">
        <f t="shared" si="65"/>
        <v>-24.3763578880422</v>
      </c>
      <c r="F217" s="4">
        <f t="shared" si="84"/>
        <v>137.319448951879</v>
      </c>
      <c r="G217">
        <f t="shared" si="66"/>
        <v>0.048828125</v>
      </c>
      <c r="H217">
        <f t="shared" si="67"/>
        <v>-0.47265625</v>
      </c>
      <c r="I217">
        <f t="shared" si="68"/>
        <v>-0.07233109640625</v>
      </c>
      <c r="J217">
        <f t="shared" si="69"/>
        <v>1.00524329045018</v>
      </c>
      <c r="K217">
        <f t="shared" si="70"/>
        <v>-13.22138601</v>
      </c>
      <c r="L217">
        <f t="shared" si="71"/>
        <v>42.70126204</v>
      </c>
      <c r="M217">
        <f t="shared" si="72"/>
        <v>5.69983896333325</v>
      </c>
      <c r="N217">
        <f t="shared" si="73"/>
        <v>-0.910854043666747</v>
      </c>
      <c r="O217">
        <f t="shared" si="74"/>
        <v>-0.412728616812471</v>
      </c>
      <c r="P217">
        <f t="shared" si="75"/>
        <v>-0.425447704790828</v>
      </c>
      <c r="Q217">
        <f t="shared" si="76"/>
        <v>0.007472220703125</v>
      </c>
      <c r="R217">
        <f t="shared" si="77"/>
        <v>1.00005583408224</v>
      </c>
      <c r="S217">
        <f t="shared" si="78"/>
        <v>-13.22138601</v>
      </c>
      <c r="T217">
        <f t="shared" si="79"/>
        <v>42.8716069511359</v>
      </c>
      <c r="U217">
        <f t="shared" si="80"/>
        <v>5.70083561289154</v>
      </c>
      <c r="V217">
        <f t="shared" si="81"/>
        <v>-0.909857394108457</v>
      </c>
      <c r="W217">
        <f t="shared" si="82"/>
        <v>0.0467673765858847</v>
      </c>
      <c r="X217">
        <f t="shared" si="83"/>
        <v>0.0467844415575029</v>
      </c>
    </row>
    <row r="218" spans="3:24">
      <c r="C218" s="2">
        <v>999</v>
      </c>
      <c r="D218" s="2">
        <v>1515</v>
      </c>
      <c r="E218" s="4">
        <f t="shared" si="65"/>
        <v>-24.7654927815529</v>
      </c>
      <c r="F218" s="4">
        <f t="shared" si="84"/>
        <v>138.655399912686</v>
      </c>
      <c r="G218">
        <f t="shared" si="66"/>
        <v>0.0244140625</v>
      </c>
      <c r="H218">
        <f t="shared" si="67"/>
        <v>-0.4794921875</v>
      </c>
      <c r="I218">
        <f t="shared" si="68"/>
        <v>-0.0733772073046875</v>
      </c>
      <c r="J218">
        <f t="shared" si="69"/>
        <v>1.00539605263054</v>
      </c>
      <c r="K218">
        <f t="shared" si="70"/>
        <v>-13.22138601</v>
      </c>
      <c r="L218">
        <f t="shared" si="71"/>
        <v>42.70126204</v>
      </c>
      <c r="M218">
        <f t="shared" si="72"/>
        <v>5.70266307198681</v>
      </c>
      <c r="N218">
        <f t="shared" si="73"/>
        <v>-0.90802993501319</v>
      </c>
      <c r="O218">
        <f t="shared" si="74"/>
        <v>-0.418905284187181</v>
      </c>
      <c r="P218">
        <f t="shared" si="75"/>
        <v>-0.432239389916986</v>
      </c>
      <c r="Q218">
        <f t="shared" si="76"/>
        <v>0.0037361103515625</v>
      </c>
      <c r="R218">
        <f t="shared" si="77"/>
        <v>1.00001395852056</v>
      </c>
      <c r="S218">
        <f t="shared" si="78"/>
        <v>-13.22138601</v>
      </c>
      <c r="T218">
        <f t="shared" si="79"/>
        <v>42.8767436771199</v>
      </c>
      <c r="U218">
        <f t="shared" si="80"/>
        <v>5.70291310148204</v>
      </c>
      <c r="V218">
        <f t="shared" si="81"/>
        <v>-0.907779905517956</v>
      </c>
      <c r="W218">
        <f t="shared" si="82"/>
        <v>0.0234655446333312</v>
      </c>
      <c r="X218">
        <f t="shared" si="83"/>
        <v>0.0234676986462255</v>
      </c>
    </row>
    <row r="219" spans="3:24">
      <c r="C219" s="2">
        <v>1028</v>
      </c>
      <c r="D219" s="2">
        <v>1526</v>
      </c>
      <c r="E219" s="4">
        <f t="shared" si="65"/>
        <v>-25.3807684381988</v>
      </c>
      <c r="F219" s="4">
        <f t="shared" si="84"/>
        <v>140.216635358808</v>
      </c>
      <c r="G219">
        <f t="shared" si="66"/>
        <v>-0.00390625</v>
      </c>
      <c r="H219">
        <f t="shared" si="67"/>
        <v>-0.490234375</v>
      </c>
      <c r="I219">
        <f t="shared" si="68"/>
        <v>-0.075021095859375</v>
      </c>
      <c r="J219">
        <f t="shared" si="69"/>
        <v>1.00564053926733</v>
      </c>
      <c r="K219">
        <f t="shared" si="70"/>
        <v>-13.22138601</v>
      </c>
      <c r="L219">
        <f t="shared" si="71"/>
        <v>42.70126204</v>
      </c>
      <c r="M219">
        <f t="shared" si="72"/>
        <v>5.70721379120104</v>
      </c>
      <c r="N219">
        <f t="shared" si="73"/>
        <v>-0.903479215798963</v>
      </c>
      <c r="O219">
        <f t="shared" si="74"/>
        <v>-0.428631901075143</v>
      </c>
      <c r="P219">
        <f t="shared" si="75"/>
        <v>-0.442977975932827</v>
      </c>
      <c r="Q219">
        <f t="shared" si="76"/>
        <v>-0.00059777765625</v>
      </c>
      <c r="R219">
        <f t="shared" si="77"/>
        <v>1.00000035733813</v>
      </c>
      <c r="S219">
        <f t="shared" si="78"/>
        <v>-13.22138601</v>
      </c>
      <c r="T219">
        <f t="shared" si="79"/>
        <v>42.8849873466193</v>
      </c>
      <c r="U219">
        <f t="shared" si="80"/>
        <v>5.70722024924614</v>
      </c>
      <c r="V219">
        <f t="shared" si="81"/>
        <v>-0.903472757753858</v>
      </c>
      <c r="W219">
        <f t="shared" si="82"/>
        <v>-0.00378099127860219</v>
      </c>
      <c r="X219">
        <f t="shared" si="83"/>
        <v>-0.0037810002874359</v>
      </c>
    </row>
    <row r="220" spans="3:24">
      <c r="C220" s="2">
        <v>1053</v>
      </c>
      <c r="D220" s="2">
        <v>1537</v>
      </c>
      <c r="E220" s="4">
        <f t="shared" si="65"/>
        <v>-26.0008389836335</v>
      </c>
      <c r="F220" s="4">
        <f t="shared" si="84"/>
        <v>141.578395173376</v>
      </c>
      <c r="G220">
        <f t="shared" si="66"/>
        <v>-0.0283203125</v>
      </c>
      <c r="H220">
        <f t="shared" si="67"/>
        <v>-0.5009765625</v>
      </c>
      <c r="I220">
        <f t="shared" si="68"/>
        <v>-0.0766649844140625</v>
      </c>
      <c r="J220">
        <f t="shared" si="69"/>
        <v>1.00589044252648</v>
      </c>
      <c r="K220">
        <f t="shared" si="70"/>
        <v>-13.22138601</v>
      </c>
      <c r="L220">
        <f t="shared" si="71"/>
        <v>42.70126204</v>
      </c>
      <c r="M220">
        <f t="shared" si="72"/>
        <v>5.71190537987763</v>
      </c>
      <c r="N220">
        <f t="shared" si="73"/>
        <v>-0.898787627122369</v>
      </c>
      <c r="O220">
        <f t="shared" si="74"/>
        <v>-0.438384307807364</v>
      </c>
      <c r="P220">
        <f t="shared" si="75"/>
        <v>-0.4538002485453</v>
      </c>
      <c r="Q220">
        <f t="shared" si="76"/>
        <v>-0.0043338880078125</v>
      </c>
      <c r="R220">
        <f t="shared" si="77"/>
        <v>1.00001878258526</v>
      </c>
      <c r="S220">
        <f t="shared" si="78"/>
        <v>-13.22138601</v>
      </c>
      <c r="T220">
        <f t="shared" si="79"/>
        <v>42.8934428413317</v>
      </c>
      <c r="U220">
        <f t="shared" si="80"/>
        <v>5.7122464045869</v>
      </c>
      <c r="V220">
        <f t="shared" si="81"/>
        <v>-0.898446602413102</v>
      </c>
      <c r="W220">
        <f t="shared" si="82"/>
        <v>-0.0275447084045724</v>
      </c>
      <c r="X220">
        <f t="shared" si="83"/>
        <v>-0.027548192673</v>
      </c>
    </row>
    <row r="221" spans="3:24">
      <c r="C221" s="2">
        <v>1056</v>
      </c>
      <c r="D221" s="2">
        <v>1560</v>
      </c>
      <c r="E221" s="4">
        <f t="shared" si="65"/>
        <v>-27.3137878281622</v>
      </c>
      <c r="F221" s="4">
        <f t="shared" si="84"/>
        <v>141.765074018303</v>
      </c>
      <c r="G221">
        <f t="shared" si="66"/>
        <v>-0.03125</v>
      </c>
      <c r="H221">
        <f t="shared" si="67"/>
        <v>-0.5234375</v>
      </c>
      <c r="I221">
        <f t="shared" si="68"/>
        <v>-0.0801022059375</v>
      </c>
      <c r="J221">
        <f t="shared" si="69"/>
        <v>1.00643047082326</v>
      </c>
      <c r="K221">
        <f t="shared" si="70"/>
        <v>-13.22138601</v>
      </c>
      <c r="L221">
        <f t="shared" si="71"/>
        <v>42.70126204</v>
      </c>
      <c r="M221">
        <f t="shared" si="72"/>
        <v>5.72218617087736</v>
      </c>
      <c r="N221">
        <f t="shared" si="73"/>
        <v>-0.888506836122641</v>
      </c>
      <c r="O221">
        <f t="shared" si="74"/>
        <v>-0.458863380717327</v>
      </c>
      <c r="P221">
        <f t="shared" si="75"/>
        <v>-0.476715528792582</v>
      </c>
      <c r="Q221">
        <f t="shared" si="76"/>
        <v>-0.00478222125</v>
      </c>
      <c r="R221">
        <f t="shared" si="77"/>
        <v>1.00002286964008</v>
      </c>
      <c r="S221">
        <f t="shared" si="78"/>
        <v>-13.22138601</v>
      </c>
      <c r="T221">
        <f t="shared" si="79"/>
        <v>42.9118176421633</v>
      </c>
      <c r="U221">
        <f t="shared" si="80"/>
        <v>5.72260774797606</v>
      </c>
      <c r="V221">
        <f t="shared" si="81"/>
        <v>-0.888085259023942</v>
      </c>
      <c r="W221">
        <f t="shared" si="82"/>
        <v>-0.030801480692617</v>
      </c>
      <c r="X221">
        <f t="shared" si="83"/>
        <v>-0.0308063531607912</v>
      </c>
    </row>
    <row r="222" spans="3:24">
      <c r="C222" s="2">
        <v>1061</v>
      </c>
      <c r="D222" s="2">
        <v>1580</v>
      </c>
      <c r="E222" s="4">
        <f t="shared" si="65"/>
        <v>-28.4749037824323</v>
      </c>
      <c r="F222" s="4">
        <f t="shared" si="84"/>
        <v>142.06646112967</v>
      </c>
      <c r="G222">
        <f t="shared" si="66"/>
        <v>-0.0361328125</v>
      </c>
      <c r="H222">
        <f t="shared" si="67"/>
        <v>-0.54296875</v>
      </c>
      <c r="I222">
        <f t="shared" si="68"/>
        <v>-0.08309109421875</v>
      </c>
      <c r="J222">
        <f t="shared" si="69"/>
        <v>1.00691930980042</v>
      </c>
      <c r="K222">
        <f t="shared" si="70"/>
        <v>-13.22138601</v>
      </c>
      <c r="L222">
        <f t="shared" si="71"/>
        <v>42.70126204</v>
      </c>
      <c r="M222">
        <f t="shared" si="72"/>
        <v>5.73166697756248</v>
      </c>
      <c r="N222">
        <f t="shared" si="73"/>
        <v>-0.879026029437523</v>
      </c>
      <c r="O222">
        <f t="shared" si="74"/>
        <v>-0.476773782386681</v>
      </c>
      <c r="P222">
        <f t="shared" si="75"/>
        <v>-0.496980825192031</v>
      </c>
      <c r="Q222">
        <f t="shared" si="76"/>
        <v>-0.0055294433203125</v>
      </c>
      <c r="R222">
        <f t="shared" si="77"/>
        <v>1.00003057474343</v>
      </c>
      <c r="S222">
        <f t="shared" si="78"/>
        <v>-13.22138601</v>
      </c>
      <c r="T222">
        <f t="shared" si="79"/>
        <v>42.9285752795713</v>
      </c>
      <c r="U222">
        <f t="shared" si="80"/>
        <v>5.73223863239375</v>
      </c>
      <c r="V222">
        <f t="shared" si="81"/>
        <v>-0.878454374606253</v>
      </c>
      <c r="W222">
        <f t="shared" si="82"/>
        <v>-0.0360587318812203</v>
      </c>
      <c r="X222">
        <f t="shared" si="83"/>
        <v>-0.0360665505772213</v>
      </c>
    </row>
    <row r="223" spans="3:24">
      <c r="C223" s="2">
        <v>1080</v>
      </c>
      <c r="D223" s="2">
        <v>1598</v>
      </c>
      <c r="E223" s="4">
        <f t="shared" si="65"/>
        <v>-29.5366736483325</v>
      </c>
      <c r="F223" s="4">
        <f t="shared" si="84"/>
        <v>143.166187206955</v>
      </c>
      <c r="G223">
        <f t="shared" si="66"/>
        <v>-0.0546875</v>
      </c>
      <c r="H223">
        <f t="shared" si="67"/>
        <v>-0.560546875</v>
      </c>
      <c r="I223">
        <f t="shared" si="68"/>
        <v>-0.085781093671875</v>
      </c>
      <c r="J223">
        <f t="shared" si="69"/>
        <v>1.007374574672</v>
      </c>
      <c r="K223">
        <f t="shared" si="70"/>
        <v>-13.22138601</v>
      </c>
      <c r="L223">
        <f t="shared" si="71"/>
        <v>42.70126204</v>
      </c>
      <c r="M223">
        <f t="shared" si="72"/>
        <v>5.74065267778909</v>
      </c>
      <c r="N223">
        <f t="shared" si="73"/>
        <v>-0.87004032921091</v>
      </c>
      <c r="O223">
        <f t="shared" si="74"/>
        <v>-0.492980552909109</v>
      </c>
      <c r="P223">
        <f t="shared" si="75"/>
        <v>-0.515512205250448</v>
      </c>
      <c r="Q223">
        <f t="shared" si="76"/>
        <v>-0.0083688871875</v>
      </c>
      <c r="R223">
        <f t="shared" si="77"/>
        <v>1.00007003827276</v>
      </c>
      <c r="S223">
        <f t="shared" si="78"/>
        <v>-13.22138601</v>
      </c>
      <c r="T223">
        <f t="shared" si="79"/>
        <v>42.9442918655466</v>
      </c>
      <c r="U223">
        <f t="shared" si="80"/>
        <v>5.74198076557571</v>
      </c>
      <c r="V223">
        <f t="shared" si="81"/>
        <v>-0.868712241424285</v>
      </c>
      <c r="W223">
        <f t="shared" si="82"/>
        <v>-0.0552322709134917</v>
      </c>
      <c r="X223">
        <f t="shared" si="83"/>
        <v>-0.0552603914958913</v>
      </c>
    </row>
    <row r="224" spans="3:24">
      <c r="C224" s="2">
        <v>1091</v>
      </c>
      <c r="D224" s="2">
        <v>1613</v>
      </c>
      <c r="E224" s="4">
        <f t="shared" si="65"/>
        <v>-30.4345282125072</v>
      </c>
      <c r="F224" s="4">
        <f t="shared" si="84"/>
        <v>143.829030540819</v>
      </c>
      <c r="G224">
        <f t="shared" si="66"/>
        <v>-0.0654296875</v>
      </c>
      <c r="H224">
        <f t="shared" si="67"/>
        <v>-0.5751953125</v>
      </c>
      <c r="I224">
        <f t="shared" si="68"/>
        <v>-0.0880227598828125</v>
      </c>
      <c r="J224">
        <f t="shared" si="69"/>
        <v>1.00776504151982</v>
      </c>
      <c r="K224">
        <f t="shared" si="70"/>
        <v>-13.22138601</v>
      </c>
      <c r="L224">
        <f t="shared" si="71"/>
        <v>42.70126204</v>
      </c>
      <c r="M224">
        <f t="shared" si="72"/>
        <v>5.74848444602109</v>
      </c>
      <c r="N224">
        <f t="shared" si="73"/>
        <v>-0.86220856097891</v>
      </c>
      <c r="O224">
        <f t="shared" si="74"/>
        <v>-0.506553449672072</v>
      </c>
      <c r="P224">
        <f t="shared" si="75"/>
        <v>-0.531182723599355</v>
      </c>
      <c r="Q224">
        <f t="shared" si="76"/>
        <v>-0.0100127757421875</v>
      </c>
      <c r="R224">
        <f t="shared" si="77"/>
        <v>1.00010025567806</v>
      </c>
      <c r="S224">
        <f t="shared" si="78"/>
        <v>-13.22138601</v>
      </c>
      <c r="T224">
        <f t="shared" si="79"/>
        <v>42.9578584373747</v>
      </c>
      <c r="U224">
        <f t="shared" si="80"/>
        <v>5.75040910189683</v>
      </c>
      <c r="V224">
        <f t="shared" si="81"/>
        <v>-0.860283905103173</v>
      </c>
      <c r="W224">
        <f t="shared" si="82"/>
        <v>-0.0667794564434815</v>
      </c>
      <c r="X224">
        <f t="shared" si="83"/>
        <v>-0.0668291900967128</v>
      </c>
    </row>
    <row r="225" spans="3:24">
      <c r="C225" s="2">
        <v>1117</v>
      </c>
      <c r="D225" s="2">
        <v>1632</v>
      </c>
      <c r="E225" s="4">
        <f t="shared" si="65"/>
        <v>-31.5901247277646</v>
      </c>
      <c r="F225" s="4">
        <f t="shared" si="84"/>
        <v>145.395156549901</v>
      </c>
      <c r="G225">
        <f t="shared" si="66"/>
        <v>-0.0908203125</v>
      </c>
      <c r="H225">
        <f t="shared" si="67"/>
        <v>-0.59375</v>
      </c>
      <c r="I225">
        <f t="shared" si="68"/>
        <v>-0.09086220375</v>
      </c>
      <c r="J225">
        <f t="shared" si="69"/>
        <v>1.00827409210853</v>
      </c>
      <c r="K225">
        <f t="shared" si="70"/>
        <v>-13.22138601</v>
      </c>
      <c r="L225">
        <f t="shared" si="71"/>
        <v>42.70126204</v>
      </c>
      <c r="M225">
        <f t="shared" si="72"/>
        <v>5.75887577338566</v>
      </c>
      <c r="N225">
        <f t="shared" si="73"/>
        <v>-0.851817233614336</v>
      </c>
      <c r="O225">
        <f t="shared" si="74"/>
        <v>-0.523839097927617</v>
      </c>
      <c r="P225">
        <f t="shared" si="75"/>
        <v>-0.551351687615169</v>
      </c>
      <c r="Q225">
        <f t="shared" si="76"/>
        <v>-0.0138983305078125</v>
      </c>
      <c r="R225">
        <f t="shared" si="77"/>
        <v>1.0001931635909</v>
      </c>
      <c r="S225">
        <f t="shared" si="78"/>
        <v>-13.22138601</v>
      </c>
      <c r="T225">
        <f t="shared" si="79"/>
        <v>42.9756694405176</v>
      </c>
      <c r="U225">
        <f t="shared" si="80"/>
        <v>5.762649394932</v>
      </c>
      <c r="V225">
        <f t="shared" si="81"/>
        <v>-0.848043612067999</v>
      </c>
      <c r="W225">
        <f t="shared" si="82"/>
        <v>-0.0940241539965449</v>
      </c>
      <c r="X225">
        <f t="shared" si="83"/>
        <v>-0.0941632454563182</v>
      </c>
    </row>
    <row r="226" spans="3:24">
      <c r="C226" s="2">
        <v>1126</v>
      </c>
      <c r="D226" s="2">
        <v>1647</v>
      </c>
      <c r="E226" s="4">
        <f t="shared" si="65"/>
        <v>-32.5179486825833</v>
      </c>
      <c r="F226" s="4">
        <f t="shared" si="84"/>
        <v>145.989408149228</v>
      </c>
      <c r="G226">
        <f t="shared" si="66"/>
        <v>-0.099609375</v>
      </c>
      <c r="H226">
        <f t="shared" si="67"/>
        <v>-0.6083984375</v>
      </c>
      <c r="I226">
        <f t="shared" si="68"/>
        <v>-0.0931038699609375</v>
      </c>
      <c r="J226">
        <f t="shared" si="69"/>
        <v>1.00868738934814</v>
      </c>
      <c r="K226">
        <f t="shared" si="70"/>
        <v>-13.22138601</v>
      </c>
      <c r="L226">
        <f t="shared" si="71"/>
        <v>42.70126204</v>
      </c>
      <c r="M226">
        <f t="shared" si="72"/>
        <v>5.76746991898069</v>
      </c>
      <c r="N226">
        <f t="shared" si="73"/>
        <v>-0.843223088019309</v>
      </c>
      <c r="O226">
        <f t="shared" si="74"/>
        <v>-0.537563785825627</v>
      </c>
      <c r="P226">
        <f t="shared" si="75"/>
        <v>-0.56754527050563</v>
      </c>
      <c r="Q226">
        <f t="shared" si="76"/>
        <v>-0.015243330234375</v>
      </c>
      <c r="R226">
        <f t="shared" si="77"/>
        <v>1.00023235911663</v>
      </c>
      <c r="S226">
        <f t="shared" si="78"/>
        <v>-13.22138601</v>
      </c>
      <c r="T226">
        <f t="shared" si="79"/>
        <v>42.9902368638312</v>
      </c>
      <c r="U226">
        <f t="shared" si="80"/>
        <v>5.77207290366803</v>
      </c>
      <c r="V226">
        <f t="shared" si="81"/>
        <v>-0.838620103331971</v>
      </c>
      <c r="W226">
        <f t="shared" si="82"/>
        <v>-0.104344611509802</v>
      </c>
      <c r="X226">
        <f t="shared" si="83"/>
        <v>-0.104534892449802</v>
      </c>
    </row>
    <row r="227" spans="3:24">
      <c r="C227" s="2">
        <v>1108</v>
      </c>
      <c r="D227" s="2">
        <v>1654</v>
      </c>
      <c r="E227" s="4">
        <f t="shared" si="65"/>
        <v>-32.9559053221248</v>
      </c>
      <c r="F227" s="4">
        <f t="shared" si="84"/>
        <v>144.956200062681</v>
      </c>
      <c r="G227">
        <f t="shared" si="66"/>
        <v>-0.08203125</v>
      </c>
      <c r="H227">
        <f t="shared" si="67"/>
        <v>-0.615234375</v>
      </c>
      <c r="I227">
        <f t="shared" si="68"/>
        <v>-0.094149980859375</v>
      </c>
      <c r="J227">
        <f t="shared" si="69"/>
        <v>1.0088837083348</v>
      </c>
      <c r="K227">
        <f t="shared" si="70"/>
        <v>-13.22138601</v>
      </c>
      <c r="L227">
        <f t="shared" si="71"/>
        <v>42.70126204</v>
      </c>
      <c r="M227">
        <f t="shared" si="72"/>
        <v>5.77160353472275</v>
      </c>
      <c r="N227">
        <f t="shared" si="73"/>
        <v>-0.839089472277251</v>
      </c>
      <c r="O227">
        <f t="shared" si="74"/>
        <v>-0.543993435174989</v>
      </c>
      <c r="P227">
        <f t="shared" si="75"/>
        <v>-0.5751890558466</v>
      </c>
      <c r="Q227">
        <f t="shared" si="76"/>
        <v>-0.01255333078125</v>
      </c>
      <c r="R227">
        <f t="shared" si="77"/>
        <v>1.0001575861137</v>
      </c>
      <c r="S227">
        <f t="shared" si="78"/>
        <v>-13.22138601</v>
      </c>
      <c r="T227">
        <f t="shared" si="79"/>
        <v>42.9971908975135</v>
      </c>
      <c r="U227">
        <f t="shared" si="80"/>
        <v>5.77474086216503</v>
      </c>
      <c r="V227">
        <f t="shared" si="81"/>
        <v>-0.835952144834969</v>
      </c>
      <c r="W227">
        <f t="shared" si="82"/>
        <v>-0.0863941732119473</v>
      </c>
      <c r="X227">
        <f t="shared" si="83"/>
        <v>-0.0865020094813312</v>
      </c>
    </row>
    <row r="228" spans="3:24">
      <c r="C228" s="2">
        <v>1085</v>
      </c>
      <c r="D228" s="2">
        <v>1675</v>
      </c>
      <c r="E228" s="4">
        <f t="shared" si="65"/>
        <v>-34.2900289194067</v>
      </c>
      <c r="F228" s="4">
        <f t="shared" si="84"/>
        <v>143.660486685857</v>
      </c>
      <c r="G228">
        <f t="shared" si="66"/>
        <v>-0.0595703125</v>
      </c>
      <c r="H228">
        <f t="shared" si="67"/>
        <v>-0.6357421875</v>
      </c>
      <c r="I228">
        <f t="shared" si="68"/>
        <v>-0.0972883135546875</v>
      </c>
      <c r="J228">
        <f t="shared" si="69"/>
        <v>1.00948582634415</v>
      </c>
      <c r="K228">
        <f t="shared" si="70"/>
        <v>-13.22138601</v>
      </c>
      <c r="L228">
        <f t="shared" si="71"/>
        <v>42.70126204</v>
      </c>
      <c r="M228">
        <f t="shared" si="72"/>
        <v>5.78449665559801</v>
      </c>
      <c r="N228">
        <f t="shared" si="73"/>
        <v>-0.826196351401991</v>
      </c>
      <c r="O228">
        <f t="shared" si="74"/>
        <v>-0.56338227601695</v>
      </c>
      <c r="P228">
        <f t="shared" si="75"/>
        <v>-0.598473905247719</v>
      </c>
      <c r="Q228">
        <f t="shared" si="76"/>
        <v>-0.0091161092578125</v>
      </c>
      <c r="R228">
        <f t="shared" si="77"/>
        <v>1.000083103448</v>
      </c>
      <c r="S228">
        <f t="shared" si="78"/>
        <v>-13.22138601</v>
      </c>
      <c r="T228">
        <f t="shared" si="79"/>
        <v>43.01866162893</v>
      </c>
      <c r="U228">
        <f t="shared" si="80"/>
        <v>5.7861821912834</v>
      </c>
      <c r="V228">
        <f t="shared" si="81"/>
        <v>-0.824510815716602</v>
      </c>
      <c r="W228">
        <f t="shared" si="82"/>
        <v>-0.0638440929992249</v>
      </c>
      <c r="X228">
        <f t="shared" si="83"/>
        <v>-0.0638875448936229</v>
      </c>
    </row>
    <row r="229" spans="3:24">
      <c r="C229" s="2">
        <v>1063</v>
      </c>
      <c r="D229" s="2">
        <v>1690</v>
      </c>
      <c r="E229" s="4">
        <f t="shared" ref="E229:E292" si="85">P229*180/PI()</f>
        <v>-35.2628528983184</v>
      </c>
      <c r="F229" s="4">
        <f t="shared" si="84"/>
        <v>142.370710162545</v>
      </c>
      <c r="G229">
        <f t="shared" ref="G229:G292" si="86">(1024-C229)/1024</f>
        <v>-0.0380859375</v>
      </c>
      <c r="H229">
        <f t="shared" ref="H229:H292" si="87">(1024-D229)/1024</f>
        <v>-0.650390625</v>
      </c>
      <c r="I229">
        <f t="shared" ref="I229:I292" si="88">0.15303108*H229</f>
        <v>-0.099529979765625</v>
      </c>
      <c r="J229">
        <f t="shared" ref="J229:J292" si="89">1+1.002198664*I229^2</f>
        <v>1.00992799731456</v>
      </c>
      <c r="K229">
        <f t="shared" ref="K229:K292" si="90">-13.22138601</f>
        <v>-13.22138601</v>
      </c>
      <c r="L229">
        <f t="shared" ref="L229:L292" si="91">42.70126204</f>
        <v>42.70126204</v>
      </c>
      <c r="M229">
        <f t="shared" ref="M229:M292" si="92">(-K229-(K229^2-4*J229*L229)^0.5)/2/J229</f>
        <v>5.7941809407069</v>
      </c>
      <c r="N229">
        <f t="shared" ref="N229:N292" si="93">M229-6.610693007</f>
        <v>-0.816512066293098</v>
      </c>
      <c r="O229">
        <f t="shared" ref="O229:O292" si="94">IF(H229&gt;=0,1,-1)*(1-N229^2)^0.5</f>
        <v>-0.577328368952864</v>
      </c>
      <c r="P229">
        <f t="shared" ref="P229:P292" si="95">ASIN(O229)</f>
        <v>-0.615452886722081</v>
      </c>
      <c r="Q229">
        <f t="shared" ref="Q229:Q292" si="96">0.15303108*G229</f>
        <v>-0.0058283321484375</v>
      </c>
      <c r="R229">
        <f t="shared" ref="R229:R292" si="97">1+Q229^2</f>
        <v>1.00003396945563</v>
      </c>
      <c r="S229">
        <f t="shared" ref="S229:S292" si="98">-13.22138601</f>
        <v>-13.22138601</v>
      </c>
      <c r="T229">
        <f t="shared" ref="T229:T292" si="99">43.70126204-(COS(P229))^2</f>
        <v>43.0345700855978</v>
      </c>
      <c r="U229">
        <f t="shared" ref="U229:U292" si="100">(-S229-(S229^2-4*R229*T229)^0.5)/2/R229</f>
        <v>5.79487978803331</v>
      </c>
      <c r="V229">
        <f t="shared" ref="V229:V292" si="101">U229-6.610693007</f>
        <v>-0.815813218966688</v>
      </c>
      <c r="W229">
        <f t="shared" ref="W229:W292" si="102">IF(G229&gt;=0,1,-1)*(1-(V229/COS(P229))^2)^0.5</f>
        <v>-0.0413648925916639</v>
      </c>
      <c r="X229">
        <f t="shared" ref="X229:X292" si="103">ASIN(W229)</f>
        <v>-0.041376697946906</v>
      </c>
    </row>
    <row r="230" spans="3:24">
      <c r="C230" s="2">
        <v>1041</v>
      </c>
      <c r="D230" s="2">
        <v>1708</v>
      </c>
      <c r="E230" s="4">
        <f t="shared" si="85"/>
        <v>-36.4540626475171</v>
      </c>
      <c r="F230" s="4">
        <f t="shared" si="84"/>
        <v>141.050954309256</v>
      </c>
      <c r="G230">
        <f t="shared" si="86"/>
        <v>-0.0166015625</v>
      </c>
      <c r="H230">
        <f t="shared" si="87"/>
        <v>-0.66796875</v>
      </c>
      <c r="I230">
        <f t="shared" si="88"/>
        <v>-0.10221997921875</v>
      </c>
      <c r="J230">
        <f t="shared" si="89"/>
        <v>1.01047189782485</v>
      </c>
      <c r="K230">
        <f t="shared" si="90"/>
        <v>-13.22138601</v>
      </c>
      <c r="L230">
        <f t="shared" si="91"/>
        <v>42.70126204</v>
      </c>
      <c r="M230">
        <f t="shared" si="92"/>
        <v>5.80635950084199</v>
      </c>
      <c r="N230">
        <f t="shared" si="93"/>
        <v>-0.804333506158008</v>
      </c>
      <c r="O230">
        <f t="shared" si="94"/>
        <v>-0.594178096930177</v>
      </c>
      <c r="P230">
        <f t="shared" si="95"/>
        <v>-0.636243418927454</v>
      </c>
      <c r="Q230">
        <f t="shared" si="96"/>
        <v>-0.0025405550390625</v>
      </c>
      <c r="R230">
        <f t="shared" si="97"/>
        <v>1.00000645441991</v>
      </c>
      <c r="S230">
        <f t="shared" si="98"/>
        <v>-13.22138601</v>
      </c>
      <c r="T230">
        <f t="shared" si="99"/>
        <v>43.0543096508716</v>
      </c>
      <c r="U230">
        <f t="shared" si="100"/>
        <v>5.80649480663593</v>
      </c>
      <c r="V230">
        <f t="shared" si="101"/>
        <v>-0.804198200364066</v>
      </c>
      <c r="W230">
        <f t="shared" si="102"/>
        <v>-0.0183415844353851</v>
      </c>
      <c r="X230">
        <f t="shared" si="103"/>
        <v>-0.0183426129845413</v>
      </c>
    </row>
    <row r="231" spans="3:24">
      <c r="C231" s="2">
        <v>1029</v>
      </c>
      <c r="D231" s="2">
        <v>1721</v>
      </c>
      <c r="E231" s="4">
        <f t="shared" si="85"/>
        <v>-37.3318102849767</v>
      </c>
      <c r="F231" s="4">
        <f t="shared" si="84"/>
        <v>140.313382495924</v>
      </c>
      <c r="G231">
        <f t="shared" si="86"/>
        <v>-0.0048828125</v>
      </c>
      <c r="H231">
        <f t="shared" si="87"/>
        <v>-0.6806640625</v>
      </c>
      <c r="I231">
        <f t="shared" si="88"/>
        <v>-0.104162756601563</v>
      </c>
      <c r="J231">
        <f t="shared" si="89"/>
        <v>1.0108737351031</v>
      </c>
      <c r="K231">
        <f t="shared" si="90"/>
        <v>-13.22138601</v>
      </c>
      <c r="L231">
        <f t="shared" si="91"/>
        <v>42.70126204</v>
      </c>
      <c r="M231">
        <f t="shared" si="92"/>
        <v>5.81555608997688</v>
      </c>
      <c r="N231">
        <f t="shared" si="93"/>
        <v>-0.795136917023116</v>
      </c>
      <c r="O231">
        <f t="shared" si="94"/>
        <v>-0.606429949117765</v>
      </c>
      <c r="P231">
        <f t="shared" si="95"/>
        <v>-0.651563005202726</v>
      </c>
      <c r="Q231">
        <f t="shared" si="96"/>
        <v>-0.0007472220703125</v>
      </c>
      <c r="R231">
        <f t="shared" si="97"/>
        <v>1.00000055834082</v>
      </c>
      <c r="S231">
        <f t="shared" si="98"/>
        <v>-13.22138601</v>
      </c>
      <c r="T231">
        <f t="shared" si="99"/>
        <v>43.069019323187</v>
      </c>
      <c r="U231">
        <f t="shared" si="100"/>
        <v>5.81556798362389</v>
      </c>
      <c r="V231">
        <f t="shared" si="101"/>
        <v>-0.795125023376113</v>
      </c>
      <c r="W231">
        <f t="shared" si="102"/>
        <v>-0.00546952910077656</v>
      </c>
      <c r="X231">
        <f t="shared" si="103"/>
        <v>-0.0054695563719866</v>
      </c>
    </row>
    <row r="232" spans="3:24">
      <c r="C232" s="2">
        <v>1044</v>
      </c>
      <c r="D232" s="2">
        <v>1728</v>
      </c>
      <c r="E232" s="4">
        <f t="shared" si="85"/>
        <v>-37.8108989132056</v>
      </c>
      <c r="F232" s="4">
        <f t="shared" si="84"/>
        <v>141.261906604593</v>
      </c>
      <c r="G232">
        <f t="shared" si="86"/>
        <v>-0.01953125</v>
      </c>
      <c r="H232">
        <f t="shared" si="87"/>
        <v>-0.6875</v>
      </c>
      <c r="I232">
        <f t="shared" si="88"/>
        <v>-0.1052088675</v>
      </c>
      <c r="J232">
        <f t="shared" si="89"/>
        <v>1.01109324260534</v>
      </c>
      <c r="K232">
        <f t="shared" si="90"/>
        <v>-13.22138601</v>
      </c>
      <c r="L232">
        <f t="shared" si="91"/>
        <v>42.70126204</v>
      </c>
      <c r="M232">
        <f t="shared" si="92"/>
        <v>5.82065459727597</v>
      </c>
      <c r="N232">
        <f t="shared" si="93"/>
        <v>-0.790038409724032</v>
      </c>
      <c r="O232">
        <f t="shared" si="94"/>
        <v>-0.613057347367049</v>
      </c>
      <c r="P232">
        <f t="shared" si="95"/>
        <v>-0.659924679174183</v>
      </c>
      <c r="Q232">
        <f t="shared" si="96"/>
        <v>-0.00298888828125</v>
      </c>
      <c r="R232">
        <f t="shared" si="97"/>
        <v>1.00000893345316</v>
      </c>
      <c r="S232">
        <f t="shared" si="98"/>
        <v>-13.22138601</v>
      </c>
      <c r="T232">
        <f t="shared" si="99"/>
        <v>43.0771013511607</v>
      </c>
      <c r="U232">
        <f t="shared" si="100"/>
        <v>5.82084620359023</v>
      </c>
      <c r="V232">
        <f t="shared" si="101"/>
        <v>-0.789846803409768</v>
      </c>
      <c r="W232">
        <f t="shared" si="102"/>
        <v>-0.0220226445618925</v>
      </c>
      <c r="X232">
        <f t="shared" si="103"/>
        <v>-0.0220244251028136</v>
      </c>
    </row>
    <row r="233" spans="3:24">
      <c r="C233" s="2">
        <v>1067</v>
      </c>
      <c r="D233" s="2">
        <v>1724</v>
      </c>
      <c r="E233" s="4">
        <f t="shared" si="85"/>
        <v>-37.5365652897407</v>
      </c>
      <c r="F233" s="4">
        <f t="shared" si="84"/>
        <v>142.702725993905</v>
      </c>
      <c r="G233">
        <f t="shared" si="86"/>
        <v>-0.0419921875</v>
      </c>
      <c r="H233">
        <f t="shared" si="87"/>
        <v>-0.68359375</v>
      </c>
      <c r="I233">
        <f t="shared" si="88"/>
        <v>-0.10461108984375</v>
      </c>
      <c r="J233">
        <f t="shared" si="89"/>
        <v>1.01096754115407</v>
      </c>
      <c r="K233">
        <f t="shared" si="90"/>
        <v>-13.22138601</v>
      </c>
      <c r="L233">
        <f t="shared" si="91"/>
        <v>42.70126204</v>
      </c>
      <c r="M233">
        <f t="shared" si="92"/>
        <v>5.81772833046942</v>
      </c>
      <c r="N233">
        <f t="shared" si="93"/>
        <v>-0.792964676530576</v>
      </c>
      <c r="O233">
        <f t="shared" si="94"/>
        <v>-0.609267610968086</v>
      </c>
      <c r="P233">
        <f t="shared" si="95"/>
        <v>-0.655136654195794</v>
      </c>
      <c r="Q233">
        <f t="shared" si="96"/>
        <v>-0.0064261098046875</v>
      </c>
      <c r="R233">
        <f t="shared" si="97"/>
        <v>1.00004129488722</v>
      </c>
      <c r="S233">
        <f t="shared" si="98"/>
        <v>-13.22138601</v>
      </c>
      <c r="T233">
        <f t="shared" si="99"/>
        <v>43.0724690617748</v>
      </c>
      <c r="U233">
        <f t="shared" si="100"/>
        <v>5.81861039850829</v>
      </c>
      <c r="V233">
        <f t="shared" si="101"/>
        <v>-0.792082608491707</v>
      </c>
      <c r="W233">
        <f t="shared" si="102"/>
        <v>-0.0471539754082911</v>
      </c>
      <c r="X233">
        <f t="shared" si="103"/>
        <v>-0.0471714673728795</v>
      </c>
    </row>
    <row r="234" spans="3:24">
      <c r="C234" s="2">
        <v>1055</v>
      </c>
      <c r="D234" s="2">
        <v>1715</v>
      </c>
      <c r="E234" s="4">
        <f t="shared" si="85"/>
        <v>-36.9248024105832</v>
      </c>
      <c r="F234" s="4">
        <f t="shared" si="84"/>
        <v>141.930112184587</v>
      </c>
      <c r="G234">
        <f t="shared" si="86"/>
        <v>-0.0302734375</v>
      </c>
      <c r="H234">
        <f t="shared" si="87"/>
        <v>-0.6748046875</v>
      </c>
      <c r="I234">
        <f t="shared" si="88"/>
        <v>-0.103266090117188</v>
      </c>
      <c r="J234">
        <f t="shared" si="89"/>
        <v>1.01068733166895</v>
      </c>
      <c r="K234">
        <f t="shared" si="90"/>
        <v>-13.22138601</v>
      </c>
      <c r="L234">
        <f t="shared" si="91"/>
        <v>42.70126204</v>
      </c>
      <c r="M234">
        <f t="shared" si="92"/>
        <v>5.81126833557554</v>
      </c>
      <c r="N234">
        <f t="shared" si="93"/>
        <v>-0.799424671424456</v>
      </c>
      <c r="O234">
        <f t="shared" si="94"/>
        <v>-0.600766339534682</v>
      </c>
      <c r="P234">
        <f t="shared" si="95"/>
        <v>-0.644459377713016</v>
      </c>
      <c r="Q234">
        <f t="shared" si="96"/>
        <v>-0.0046327768359375</v>
      </c>
      <c r="R234">
        <f t="shared" si="97"/>
        <v>1.00002146262121</v>
      </c>
      <c r="S234">
        <f t="shared" si="98"/>
        <v>-13.22138601</v>
      </c>
      <c r="T234">
        <f t="shared" si="99"/>
        <v>43.0621822347179</v>
      </c>
      <c r="U234">
        <f t="shared" si="100"/>
        <v>5.81172188677643</v>
      </c>
      <c r="V234">
        <f t="shared" si="101"/>
        <v>-0.798971120223568</v>
      </c>
      <c r="W234">
        <f t="shared" si="102"/>
        <v>-0.0336804416087289</v>
      </c>
      <c r="X234">
        <f t="shared" si="103"/>
        <v>-0.0336868125539016</v>
      </c>
    </row>
    <row r="235" spans="3:24">
      <c r="C235" s="2">
        <v>1061</v>
      </c>
      <c r="D235" s="2">
        <v>1705</v>
      </c>
      <c r="E235" s="4">
        <f t="shared" si="85"/>
        <v>-36.2536333814271</v>
      </c>
      <c r="F235" s="4">
        <f t="shared" si="84"/>
        <v>142.281221568172</v>
      </c>
      <c r="G235">
        <f t="shared" si="86"/>
        <v>-0.0361328125</v>
      </c>
      <c r="H235">
        <f t="shared" si="87"/>
        <v>-0.6650390625</v>
      </c>
      <c r="I235">
        <f t="shared" si="88"/>
        <v>-0.101771645976563</v>
      </c>
      <c r="J235">
        <f t="shared" si="89"/>
        <v>1.01038024051664</v>
      </c>
      <c r="K235">
        <f t="shared" si="90"/>
        <v>-13.22138601</v>
      </c>
      <c r="L235">
        <f t="shared" si="91"/>
        <v>42.70126204</v>
      </c>
      <c r="M235">
        <f t="shared" si="92"/>
        <v>5.8042859019413</v>
      </c>
      <c r="N235">
        <f t="shared" si="93"/>
        <v>-0.806407105058695</v>
      </c>
      <c r="O235">
        <f t="shared" si="94"/>
        <v>-0.591360787430867</v>
      </c>
      <c r="P235">
        <f t="shared" si="95"/>
        <v>-0.632745268316828</v>
      </c>
      <c r="Q235">
        <f t="shared" si="96"/>
        <v>-0.0055294433203125</v>
      </c>
      <c r="R235">
        <f t="shared" si="97"/>
        <v>1.00003057474343</v>
      </c>
      <c r="S235">
        <f t="shared" si="98"/>
        <v>-13.22138601</v>
      </c>
      <c r="T235">
        <f t="shared" si="99"/>
        <v>43.0509696209109</v>
      </c>
      <c r="U235">
        <f t="shared" si="100"/>
        <v>5.80492498403804</v>
      </c>
      <c r="V235">
        <f t="shared" si="101"/>
        <v>-0.805768022961964</v>
      </c>
      <c r="W235">
        <f t="shared" si="102"/>
        <v>-0.03980430895259</v>
      </c>
      <c r="X235">
        <f t="shared" si="103"/>
        <v>-0.0398148273321103</v>
      </c>
    </row>
    <row r="236" spans="3:24">
      <c r="C236" s="2">
        <v>1033</v>
      </c>
      <c r="D236" s="2">
        <v>1713</v>
      </c>
      <c r="E236" s="4">
        <f t="shared" si="85"/>
        <v>-36.7898606076967</v>
      </c>
      <c r="F236" s="4">
        <f t="shared" si="84"/>
        <v>140.559221438634</v>
      </c>
      <c r="G236">
        <f t="shared" si="86"/>
        <v>-0.0087890625</v>
      </c>
      <c r="H236">
        <f t="shared" si="87"/>
        <v>-0.6728515625</v>
      </c>
      <c r="I236">
        <f t="shared" si="88"/>
        <v>-0.102967201289063</v>
      </c>
      <c r="J236">
        <f t="shared" si="89"/>
        <v>1.01062555531469</v>
      </c>
      <c r="K236">
        <f t="shared" si="90"/>
        <v>-13.22138601</v>
      </c>
      <c r="L236">
        <f t="shared" si="91"/>
        <v>42.70126204</v>
      </c>
      <c r="M236">
        <f t="shared" si="92"/>
        <v>5.80985564191177</v>
      </c>
      <c r="N236">
        <f t="shared" si="93"/>
        <v>-0.800837365088229</v>
      </c>
      <c r="O236">
        <f t="shared" si="94"/>
        <v>-0.598881887085043</v>
      </c>
      <c r="P236">
        <f t="shared" si="95"/>
        <v>-0.642104198954069</v>
      </c>
      <c r="Q236">
        <f t="shared" si="96"/>
        <v>-0.0013449997265625</v>
      </c>
      <c r="R236">
        <f t="shared" si="97"/>
        <v>1.00000180902426</v>
      </c>
      <c r="S236">
        <f t="shared" si="98"/>
        <v>-13.22138601</v>
      </c>
      <c r="T236">
        <f t="shared" si="99"/>
        <v>43.0599215546785</v>
      </c>
      <c r="U236">
        <f t="shared" si="100"/>
        <v>5.80989378652755</v>
      </c>
      <c r="V236">
        <f t="shared" si="101"/>
        <v>-0.800799220472449</v>
      </c>
      <c r="W236">
        <f t="shared" si="102"/>
        <v>-0.0097601003881166</v>
      </c>
      <c r="X236">
        <f t="shared" si="103"/>
        <v>-0.00976025535190358</v>
      </c>
    </row>
    <row r="237" spans="5:24">
      <c r="E237" s="4" t="e">
        <f t="shared" si="85"/>
        <v>#NUM!</v>
      </c>
      <c r="F237" s="4" t="e">
        <f t="shared" si="84"/>
        <v>#NUM!</v>
      </c>
      <c r="G237">
        <f t="shared" si="86"/>
        <v>1</v>
      </c>
      <c r="H237">
        <f t="shared" si="87"/>
        <v>1</v>
      </c>
      <c r="I237">
        <f t="shared" si="88"/>
        <v>0.15303108</v>
      </c>
      <c r="J237">
        <f t="shared" si="89"/>
        <v>1.02347000088402</v>
      </c>
      <c r="K237">
        <f t="shared" si="90"/>
        <v>-13.22138601</v>
      </c>
      <c r="L237">
        <f t="shared" si="91"/>
        <v>42.70126204</v>
      </c>
      <c r="M237" t="e">
        <f t="shared" si="92"/>
        <v>#NUM!</v>
      </c>
      <c r="N237" t="e">
        <f t="shared" si="93"/>
        <v>#NUM!</v>
      </c>
      <c r="O237" t="e">
        <f t="shared" si="94"/>
        <v>#NUM!</v>
      </c>
      <c r="P237" t="e">
        <f t="shared" si="95"/>
        <v>#NUM!</v>
      </c>
      <c r="Q237">
        <f t="shared" si="96"/>
        <v>0.15303108</v>
      </c>
      <c r="R237">
        <f t="shared" si="97"/>
        <v>1.02341851144597</v>
      </c>
      <c r="S237">
        <f t="shared" si="98"/>
        <v>-13.22138601</v>
      </c>
      <c r="T237" t="e">
        <f t="shared" si="99"/>
        <v>#NUM!</v>
      </c>
      <c r="U237" t="e">
        <f t="shared" si="100"/>
        <v>#NUM!</v>
      </c>
      <c r="V237" t="e">
        <f t="shared" si="101"/>
        <v>#NUM!</v>
      </c>
      <c r="W237" t="e">
        <f t="shared" si="102"/>
        <v>#NUM!</v>
      </c>
      <c r="X237" t="e">
        <f t="shared" si="103"/>
        <v>#NUM!</v>
      </c>
    </row>
    <row r="238" spans="3:24">
      <c r="C238" s="2">
        <v>820</v>
      </c>
      <c r="D238" s="2">
        <v>1347</v>
      </c>
      <c r="E238" s="4">
        <f t="shared" si="85"/>
        <v>-15.8407162530967</v>
      </c>
      <c r="F238" s="4">
        <f t="shared" si="84"/>
        <v>129.659232196617</v>
      </c>
      <c r="G238">
        <f t="shared" si="86"/>
        <v>0.19921875</v>
      </c>
      <c r="H238">
        <f t="shared" si="87"/>
        <v>-0.3154296875</v>
      </c>
      <c r="I238">
        <f t="shared" si="88"/>
        <v>-0.0482705457421875</v>
      </c>
      <c r="J238">
        <f t="shared" si="89"/>
        <v>1.0023351685736</v>
      </c>
      <c r="K238">
        <f t="shared" si="90"/>
        <v>-13.22138601</v>
      </c>
      <c r="L238">
        <f t="shared" si="91"/>
        <v>42.70126204</v>
      </c>
      <c r="M238">
        <f t="shared" si="92"/>
        <v>5.64866874765436</v>
      </c>
      <c r="N238">
        <f t="shared" si="93"/>
        <v>-0.962024259345644</v>
      </c>
      <c r="O238">
        <f t="shared" si="94"/>
        <v>-0.272963961779692</v>
      </c>
      <c r="P238">
        <f t="shared" si="95"/>
        <v>-0.276472654490717</v>
      </c>
      <c r="Q238">
        <f t="shared" si="96"/>
        <v>0.03048666046875</v>
      </c>
      <c r="R238">
        <f t="shared" si="97"/>
        <v>1.00092943646654</v>
      </c>
      <c r="S238">
        <f t="shared" si="98"/>
        <v>-13.22138601</v>
      </c>
      <c r="T238">
        <f t="shared" si="99"/>
        <v>42.7757713644305</v>
      </c>
      <c r="U238">
        <f t="shared" si="100"/>
        <v>5.66429436385161</v>
      </c>
      <c r="V238">
        <f t="shared" si="101"/>
        <v>-0.946398643148394</v>
      </c>
      <c r="W238">
        <f t="shared" si="102"/>
        <v>0.179502235875667</v>
      </c>
      <c r="X238">
        <f t="shared" si="103"/>
        <v>0.180480445353248</v>
      </c>
    </row>
    <row r="239" spans="3:24">
      <c r="C239" s="2">
        <v>822</v>
      </c>
      <c r="D239" s="2">
        <v>1353</v>
      </c>
      <c r="E239" s="4">
        <f t="shared" si="85"/>
        <v>-16.147260478823</v>
      </c>
      <c r="F239" s="4">
        <f t="shared" si="84"/>
        <v>129.743637224577</v>
      </c>
      <c r="G239">
        <f t="shared" si="86"/>
        <v>0.197265625</v>
      </c>
      <c r="H239">
        <f t="shared" si="87"/>
        <v>-0.3212890625</v>
      </c>
      <c r="I239">
        <f t="shared" si="88"/>
        <v>-0.0491672122265625</v>
      </c>
      <c r="J239">
        <f t="shared" si="89"/>
        <v>1.00242272984093</v>
      </c>
      <c r="K239">
        <f t="shared" si="90"/>
        <v>-13.22138601</v>
      </c>
      <c r="L239">
        <f t="shared" si="91"/>
        <v>42.70126204</v>
      </c>
      <c r="M239">
        <f t="shared" si="92"/>
        <v>5.6501429229219</v>
      </c>
      <c r="N239">
        <f t="shared" si="93"/>
        <v>-0.960550084078096</v>
      </c>
      <c r="O239">
        <f t="shared" si="94"/>
        <v>-0.278107058482094</v>
      </c>
      <c r="P239">
        <f t="shared" si="95"/>
        <v>-0.281822860532618</v>
      </c>
      <c r="Q239">
        <f t="shared" si="96"/>
        <v>0.030187771640625</v>
      </c>
      <c r="R239">
        <f t="shared" si="97"/>
        <v>1.00091130155663</v>
      </c>
      <c r="S239">
        <f t="shared" si="98"/>
        <v>-13.22138601</v>
      </c>
      <c r="T239">
        <f t="shared" si="99"/>
        <v>42.7786055759776</v>
      </c>
      <c r="U239">
        <f t="shared" si="100"/>
        <v>5.66549161927947</v>
      </c>
      <c r="V239">
        <f t="shared" si="101"/>
        <v>-0.945201387720532</v>
      </c>
      <c r="W239">
        <f t="shared" si="102"/>
        <v>0.178052823454514</v>
      </c>
      <c r="X239">
        <f t="shared" si="103"/>
        <v>0.179007299710114</v>
      </c>
    </row>
    <row r="240" spans="3:24">
      <c r="C240" s="2">
        <v>823</v>
      </c>
      <c r="D240" s="2">
        <v>1379</v>
      </c>
      <c r="E240" s="4">
        <f t="shared" si="85"/>
        <v>-17.4842512745434</v>
      </c>
      <c r="F240" s="4">
        <f t="shared" si="84"/>
        <v>129.709580945368</v>
      </c>
      <c r="G240">
        <f t="shared" si="86"/>
        <v>0.1962890625</v>
      </c>
      <c r="H240">
        <f t="shared" si="87"/>
        <v>-0.3466796875</v>
      </c>
      <c r="I240">
        <f t="shared" si="88"/>
        <v>-0.0530527669921875</v>
      </c>
      <c r="J240">
        <f t="shared" si="89"/>
        <v>1.00282078443662</v>
      </c>
      <c r="K240">
        <f t="shared" si="90"/>
        <v>-13.22138601</v>
      </c>
      <c r="L240">
        <f t="shared" si="91"/>
        <v>42.70126204</v>
      </c>
      <c r="M240">
        <f t="shared" si="92"/>
        <v>5.65689343814566</v>
      </c>
      <c r="N240">
        <f t="shared" si="93"/>
        <v>-0.953799568854343</v>
      </c>
      <c r="O240">
        <f t="shared" si="94"/>
        <v>-0.300443642724004</v>
      </c>
      <c r="P240">
        <f t="shared" si="95"/>
        <v>-0.305157751986797</v>
      </c>
      <c r="Q240">
        <f t="shared" si="96"/>
        <v>0.0300383272265625</v>
      </c>
      <c r="R240">
        <f t="shared" si="97"/>
        <v>1.00090230110257</v>
      </c>
      <c r="S240">
        <f t="shared" si="98"/>
        <v>-13.22138601</v>
      </c>
      <c r="T240">
        <f t="shared" si="99"/>
        <v>42.7915284224533</v>
      </c>
      <c r="U240">
        <f t="shared" si="100"/>
        <v>5.67223537735495</v>
      </c>
      <c r="V240">
        <f t="shared" si="101"/>
        <v>-0.93845762964505</v>
      </c>
      <c r="W240">
        <f t="shared" si="102"/>
        <v>0.178637688303659</v>
      </c>
      <c r="X240">
        <f t="shared" si="103"/>
        <v>0.17960169391329</v>
      </c>
    </row>
    <row r="241" spans="3:24">
      <c r="C241" s="2">
        <v>843</v>
      </c>
      <c r="D241" s="2">
        <v>1392</v>
      </c>
      <c r="E241" s="4">
        <f t="shared" si="85"/>
        <v>-18.1583358014501</v>
      </c>
      <c r="F241" s="4">
        <f t="shared" si="84"/>
        <v>130.706422772405</v>
      </c>
      <c r="G241">
        <f t="shared" si="86"/>
        <v>0.1767578125</v>
      </c>
      <c r="H241">
        <f t="shared" si="87"/>
        <v>-0.359375</v>
      </c>
      <c r="I241">
        <f t="shared" si="88"/>
        <v>-0.054995544375</v>
      </c>
      <c r="J241">
        <f t="shared" si="89"/>
        <v>1.00303115978214</v>
      </c>
      <c r="K241">
        <f t="shared" si="90"/>
        <v>-13.22138601</v>
      </c>
      <c r="L241">
        <f t="shared" si="91"/>
        <v>42.70126204</v>
      </c>
      <c r="M241">
        <f t="shared" si="92"/>
        <v>5.66049408375381</v>
      </c>
      <c r="N241">
        <f t="shared" si="93"/>
        <v>-0.950198923246191</v>
      </c>
      <c r="O241">
        <f t="shared" si="94"/>
        <v>-0.311644037744635</v>
      </c>
      <c r="P241">
        <f t="shared" si="95"/>
        <v>-0.316922746418068</v>
      </c>
      <c r="Q241">
        <f t="shared" si="96"/>
        <v>0.0270494389453125</v>
      </c>
      <c r="R241">
        <f t="shared" si="97"/>
        <v>1.00073167214726</v>
      </c>
      <c r="S241">
        <f t="shared" si="98"/>
        <v>-13.22138601</v>
      </c>
      <c r="T241">
        <f t="shared" si="99"/>
        <v>42.7983840462618</v>
      </c>
      <c r="U241">
        <f t="shared" si="100"/>
        <v>5.67296656038643</v>
      </c>
      <c r="V241">
        <f t="shared" si="101"/>
        <v>-0.937726446613569</v>
      </c>
      <c r="W241">
        <f t="shared" si="102"/>
        <v>0.16149319501747</v>
      </c>
      <c r="X241">
        <f t="shared" si="103"/>
        <v>0.162203521909902</v>
      </c>
    </row>
    <row r="242" spans="3:24">
      <c r="C242" s="2">
        <v>854</v>
      </c>
      <c r="D242" s="2">
        <v>1415</v>
      </c>
      <c r="E242" s="4">
        <f t="shared" si="85"/>
        <v>-19.3608535373702</v>
      </c>
      <c r="F242" s="4">
        <f t="shared" si="84"/>
        <v>131.204484866789</v>
      </c>
      <c r="G242">
        <f t="shared" si="86"/>
        <v>0.166015625</v>
      </c>
      <c r="H242">
        <f t="shared" si="87"/>
        <v>-0.3818359375</v>
      </c>
      <c r="I242">
        <f t="shared" si="88"/>
        <v>-0.0584327658984375</v>
      </c>
      <c r="J242">
        <f t="shared" si="89"/>
        <v>1.00342189522281</v>
      </c>
      <c r="K242">
        <f t="shared" si="90"/>
        <v>-13.22138601</v>
      </c>
      <c r="L242">
        <f t="shared" si="91"/>
        <v>42.70126204</v>
      </c>
      <c r="M242">
        <f t="shared" si="92"/>
        <v>5.66724362522361</v>
      </c>
      <c r="N242">
        <f t="shared" si="93"/>
        <v>-0.943449381776391</v>
      </c>
      <c r="O242">
        <f t="shared" si="94"/>
        <v>-0.331516611990629</v>
      </c>
      <c r="P242">
        <f t="shared" si="95"/>
        <v>-0.337910640223502</v>
      </c>
      <c r="Q242">
        <f t="shared" si="96"/>
        <v>0.025405550390625</v>
      </c>
      <c r="R242">
        <f t="shared" si="97"/>
        <v>1.00064544199065</v>
      </c>
      <c r="S242">
        <f t="shared" si="98"/>
        <v>-13.22138601</v>
      </c>
      <c r="T242">
        <f t="shared" si="99"/>
        <v>42.8111653040257</v>
      </c>
      <c r="U242">
        <f t="shared" si="100"/>
        <v>5.67833825645219</v>
      </c>
      <c r="V242">
        <f t="shared" si="101"/>
        <v>-0.932354750547812</v>
      </c>
      <c r="W242">
        <f t="shared" si="102"/>
        <v>0.152908481555038</v>
      </c>
      <c r="X242">
        <f t="shared" si="103"/>
        <v>0.153510698483513</v>
      </c>
    </row>
    <row r="243" spans="5:24">
      <c r="E243" s="4" t="e">
        <f t="shared" si="85"/>
        <v>#NUM!</v>
      </c>
      <c r="F243" s="4" t="e">
        <f t="shared" si="84"/>
        <v>#NUM!</v>
      </c>
      <c r="G243">
        <f t="shared" si="86"/>
        <v>1</v>
      </c>
      <c r="H243">
        <f t="shared" si="87"/>
        <v>1</v>
      </c>
      <c r="I243">
        <f t="shared" si="88"/>
        <v>0.15303108</v>
      </c>
      <c r="J243">
        <f t="shared" si="89"/>
        <v>1.02347000088402</v>
      </c>
      <c r="K243">
        <f t="shared" si="90"/>
        <v>-13.22138601</v>
      </c>
      <c r="L243">
        <f t="shared" si="91"/>
        <v>42.70126204</v>
      </c>
      <c r="M243" t="e">
        <f t="shared" si="92"/>
        <v>#NUM!</v>
      </c>
      <c r="N243" t="e">
        <f t="shared" si="93"/>
        <v>#NUM!</v>
      </c>
      <c r="O243" t="e">
        <f t="shared" si="94"/>
        <v>#NUM!</v>
      </c>
      <c r="P243" t="e">
        <f t="shared" si="95"/>
        <v>#NUM!</v>
      </c>
      <c r="Q243">
        <f t="shared" si="96"/>
        <v>0.15303108</v>
      </c>
      <c r="R243">
        <f t="shared" si="97"/>
        <v>1.02341851144597</v>
      </c>
      <c r="S243">
        <f t="shared" si="98"/>
        <v>-13.22138601</v>
      </c>
      <c r="T243" t="e">
        <f t="shared" si="99"/>
        <v>#NUM!</v>
      </c>
      <c r="U243" t="e">
        <f t="shared" si="100"/>
        <v>#NUM!</v>
      </c>
      <c r="V243" t="e">
        <f t="shared" si="101"/>
        <v>#NUM!</v>
      </c>
      <c r="W243" t="e">
        <f t="shared" si="102"/>
        <v>#NUM!</v>
      </c>
      <c r="X243" t="e">
        <f t="shared" si="103"/>
        <v>#NUM!</v>
      </c>
    </row>
    <row r="244" spans="3:24">
      <c r="C244" s="2">
        <v>1021</v>
      </c>
      <c r="D244" s="2">
        <v>1352</v>
      </c>
      <c r="E244" s="4">
        <f t="shared" si="85"/>
        <v>-16.0961197854089</v>
      </c>
      <c r="F244" s="4">
        <f t="shared" si="84"/>
        <v>139.848595465606</v>
      </c>
      <c r="G244">
        <f t="shared" si="86"/>
        <v>0.0029296875</v>
      </c>
      <c r="H244">
        <f t="shared" si="87"/>
        <v>-0.3203125</v>
      </c>
      <c r="I244">
        <f t="shared" si="88"/>
        <v>-0.0490177678125</v>
      </c>
      <c r="J244">
        <f t="shared" si="89"/>
        <v>1.00240802438269</v>
      </c>
      <c r="K244">
        <f t="shared" si="90"/>
        <v>-13.22138601</v>
      </c>
      <c r="L244">
        <f t="shared" si="91"/>
        <v>42.70126204</v>
      </c>
      <c r="M244">
        <f t="shared" si="92"/>
        <v>5.64989507459841</v>
      </c>
      <c r="N244">
        <f t="shared" si="93"/>
        <v>-0.960797932401587</v>
      </c>
      <c r="O244">
        <f t="shared" si="94"/>
        <v>-0.277249586280728</v>
      </c>
      <c r="P244">
        <f t="shared" si="95"/>
        <v>-0.280930287050788</v>
      </c>
      <c r="Q244">
        <f t="shared" si="96"/>
        <v>0.0004483332421875</v>
      </c>
      <c r="R244">
        <f t="shared" si="97"/>
        <v>1.0000002010027</v>
      </c>
      <c r="S244">
        <f t="shared" si="98"/>
        <v>-13.22138601</v>
      </c>
      <c r="T244">
        <f t="shared" si="99"/>
        <v>42.7781293730928</v>
      </c>
      <c r="U244">
        <f t="shared" si="100"/>
        <v>5.64989842914873</v>
      </c>
      <c r="V244">
        <f t="shared" si="101"/>
        <v>-0.96079457785127</v>
      </c>
      <c r="W244">
        <f t="shared" si="102"/>
        <v>0.00264250455224658</v>
      </c>
      <c r="X244">
        <f t="shared" si="103"/>
        <v>0.00264250762761639</v>
      </c>
    </row>
    <row r="245" spans="3:24">
      <c r="C245" s="2">
        <v>1012</v>
      </c>
      <c r="D245" s="2">
        <v>1329</v>
      </c>
      <c r="E245" s="4">
        <f t="shared" si="85"/>
        <v>-14.9252684244005</v>
      </c>
      <c r="F245" s="4">
        <f t="shared" si="84"/>
        <v>139.399678837829</v>
      </c>
      <c r="G245">
        <f t="shared" si="86"/>
        <v>0.01171875</v>
      </c>
      <c r="H245">
        <f t="shared" si="87"/>
        <v>-0.2978515625</v>
      </c>
      <c r="I245">
        <f t="shared" si="88"/>
        <v>-0.0455805462890625</v>
      </c>
      <c r="J245">
        <f t="shared" si="89"/>
        <v>1.00208215411399</v>
      </c>
      <c r="K245">
        <f t="shared" si="90"/>
        <v>-13.22138601</v>
      </c>
      <c r="L245">
        <f t="shared" si="91"/>
        <v>42.70126204</v>
      </c>
      <c r="M245">
        <f t="shared" si="92"/>
        <v>5.64443042163835</v>
      </c>
      <c r="N245">
        <f t="shared" si="93"/>
        <v>-0.966262585361654</v>
      </c>
      <c r="O245">
        <f t="shared" si="94"/>
        <v>-0.257558956610351</v>
      </c>
      <c r="P245">
        <f t="shared" si="95"/>
        <v>-0.260495075749735</v>
      </c>
      <c r="Q245">
        <f t="shared" si="96"/>
        <v>0.00179333296875</v>
      </c>
      <c r="R245">
        <f t="shared" si="97"/>
        <v>1.00000321604314</v>
      </c>
      <c r="S245">
        <f t="shared" si="98"/>
        <v>-13.22138601</v>
      </c>
      <c r="T245">
        <f t="shared" si="99"/>
        <v>42.7675986561302</v>
      </c>
      <c r="U245">
        <f t="shared" si="100"/>
        <v>5.64448345916173</v>
      </c>
      <c r="V245">
        <f t="shared" si="101"/>
        <v>-0.96620954783827</v>
      </c>
      <c r="W245">
        <f t="shared" si="102"/>
        <v>0.0104773891460528</v>
      </c>
      <c r="X245">
        <f t="shared" si="103"/>
        <v>0.0104775808492817</v>
      </c>
    </row>
    <row r="246" spans="3:24">
      <c r="C246" s="2">
        <v>1001</v>
      </c>
      <c r="D246" s="2">
        <v>1325</v>
      </c>
      <c r="E246" s="4">
        <f t="shared" si="85"/>
        <v>-14.722655363126</v>
      </c>
      <c r="F246" s="4">
        <f t="shared" ref="F246:F306" si="104">IF(140-X246*180/PI()&gt;180,140-X246*180/PI()-360,140-X246*180/PI())</f>
        <v>138.850681709542</v>
      </c>
      <c r="G246">
        <f t="shared" si="86"/>
        <v>0.0224609375</v>
      </c>
      <c r="H246">
        <f t="shared" si="87"/>
        <v>-0.2939453125</v>
      </c>
      <c r="I246">
        <f t="shared" si="88"/>
        <v>-0.0449827686328125</v>
      </c>
      <c r="J246">
        <f t="shared" si="89"/>
        <v>1.00202789835939</v>
      </c>
      <c r="K246">
        <f t="shared" si="90"/>
        <v>-13.22138601</v>
      </c>
      <c r="L246">
        <f t="shared" si="91"/>
        <v>42.70126204</v>
      </c>
      <c r="M246">
        <f t="shared" si="92"/>
        <v>5.64352566843884</v>
      </c>
      <c r="N246">
        <f t="shared" si="93"/>
        <v>-0.967167338561158</v>
      </c>
      <c r="O246">
        <f t="shared" si="94"/>
        <v>-0.254140392737021</v>
      </c>
      <c r="P246">
        <f t="shared" si="95"/>
        <v>-0.256958810722951</v>
      </c>
      <c r="Q246">
        <f t="shared" si="96"/>
        <v>0.0034372215234375</v>
      </c>
      <c r="R246">
        <f t="shared" si="97"/>
        <v>1.0000118144918</v>
      </c>
      <c r="S246">
        <f t="shared" si="98"/>
        <v>-13.22138601</v>
      </c>
      <c r="T246">
        <f t="shared" si="99"/>
        <v>42.7658493792205</v>
      </c>
      <c r="U246">
        <f t="shared" si="100"/>
        <v>5.64372024585642</v>
      </c>
      <c r="V246">
        <f t="shared" si="101"/>
        <v>-0.966972761143576</v>
      </c>
      <c r="W246">
        <f t="shared" si="102"/>
        <v>0.0200580431026421</v>
      </c>
      <c r="X246">
        <f t="shared" si="103"/>
        <v>0.0200593883218797</v>
      </c>
    </row>
    <row r="247" spans="3:24">
      <c r="C247" s="2">
        <v>993</v>
      </c>
      <c r="D247" s="2">
        <v>1319</v>
      </c>
      <c r="E247" s="4">
        <f t="shared" si="85"/>
        <v>-14.4192729353615</v>
      </c>
      <c r="F247" s="4">
        <f t="shared" si="104"/>
        <v>138.453314617082</v>
      </c>
      <c r="G247">
        <f t="shared" si="86"/>
        <v>0.0302734375</v>
      </c>
      <c r="H247">
        <f t="shared" si="87"/>
        <v>-0.2880859375</v>
      </c>
      <c r="I247">
        <f t="shared" si="88"/>
        <v>-0.0440861021484375</v>
      </c>
      <c r="J247">
        <f t="shared" si="89"/>
        <v>1.0019478576917</v>
      </c>
      <c r="K247">
        <f t="shared" si="90"/>
        <v>-13.22138601</v>
      </c>
      <c r="L247">
        <f t="shared" si="91"/>
        <v>42.70126204</v>
      </c>
      <c r="M247">
        <f t="shared" si="92"/>
        <v>5.64219355402076</v>
      </c>
      <c r="N247">
        <f t="shared" si="93"/>
        <v>-0.968499452979237</v>
      </c>
      <c r="O247">
        <f t="shared" si="94"/>
        <v>-0.249015681391592</v>
      </c>
      <c r="P247">
        <f t="shared" si="95"/>
        <v>-0.251663788465766</v>
      </c>
      <c r="Q247">
        <f t="shared" si="96"/>
        <v>0.0046327768359375</v>
      </c>
      <c r="R247">
        <f t="shared" si="97"/>
        <v>1.00002146262121</v>
      </c>
      <c r="S247">
        <f t="shared" si="98"/>
        <v>-13.22138601</v>
      </c>
      <c r="T247">
        <f t="shared" si="99"/>
        <v>42.7632708495789</v>
      </c>
      <c r="U247">
        <f t="shared" si="100"/>
        <v>5.64254641343465</v>
      </c>
      <c r="V247">
        <f t="shared" si="101"/>
        <v>-0.968146593565351</v>
      </c>
      <c r="W247">
        <f t="shared" si="102"/>
        <v>0.0269914739562086</v>
      </c>
      <c r="X247">
        <f t="shared" si="103"/>
        <v>0.026994752424383</v>
      </c>
    </row>
    <row r="248" spans="5:24">
      <c r="E248" s="4" t="e">
        <f t="shared" si="85"/>
        <v>#NUM!</v>
      </c>
      <c r="F248" s="4" t="e">
        <f t="shared" si="104"/>
        <v>#NUM!</v>
      </c>
      <c r="G248">
        <f t="shared" si="86"/>
        <v>1</v>
      </c>
      <c r="H248">
        <f t="shared" si="87"/>
        <v>1</v>
      </c>
      <c r="I248">
        <f t="shared" si="88"/>
        <v>0.15303108</v>
      </c>
      <c r="J248">
        <f t="shared" si="89"/>
        <v>1.02347000088402</v>
      </c>
      <c r="K248">
        <f t="shared" si="90"/>
        <v>-13.22138601</v>
      </c>
      <c r="L248">
        <f t="shared" si="91"/>
        <v>42.70126204</v>
      </c>
      <c r="M248" t="e">
        <f t="shared" si="92"/>
        <v>#NUM!</v>
      </c>
      <c r="N248" t="e">
        <f t="shared" si="93"/>
        <v>#NUM!</v>
      </c>
      <c r="O248" t="e">
        <f t="shared" si="94"/>
        <v>#NUM!</v>
      </c>
      <c r="P248" t="e">
        <f t="shared" si="95"/>
        <v>#NUM!</v>
      </c>
      <c r="Q248">
        <f t="shared" si="96"/>
        <v>0.15303108</v>
      </c>
      <c r="R248">
        <f t="shared" si="97"/>
        <v>1.02341851144597</v>
      </c>
      <c r="S248">
        <f t="shared" si="98"/>
        <v>-13.22138601</v>
      </c>
      <c r="T248" t="e">
        <f t="shared" si="99"/>
        <v>#NUM!</v>
      </c>
      <c r="U248" t="e">
        <f t="shared" si="100"/>
        <v>#NUM!</v>
      </c>
      <c r="V248" t="e">
        <f t="shared" si="101"/>
        <v>#NUM!</v>
      </c>
      <c r="W248" t="e">
        <f t="shared" si="102"/>
        <v>#NUM!</v>
      </c>
      <c r="X248" t="e">
        <f t="shared" si="103"/>
        <v>#NUM!</v>
      </c>
    </row>
    <row r="249" spans="3:24">
      <c r="C249" s="2">
        <v>1674</v>
      </c>
      <c r="D249" s="2">
        <v>1225</v>
      </c>
      <c r="E249" s="4">
        <f t="shared" si="85"/>
        <v>-9.73865986303834</v>
      </c>
      <c r="F249" s="4">
        <f t="shared" si="104"/>
        <v>174.879755684272</v>
      </c>
      <c r="G249">
        <f t="shared" si="86"/>
        <v>-0.634765625</v>
      </c>
      <c r="H249">
        <f t="shared" si="87"/>
        <v>-0.1962890625</v>
      </c>
      <c r="I249">
        <f t="shared" si="88"/>
        <v>-0.0300383272265625</v>
      </c>
      <c r="J249">
        <f t="shared" si="89"/>
        <v>1.00090428495952</v>
      </c>
      <c r="K249">
        <f t="shared" si="90"/>
        <v>-13.22138601</v>
      </c>
      <c r="L249">
        <f t="shared" si="91"/>
        <v>42.70126204</v>
      </c>
      <c r="M249">
        <f t="shared" si="92"/>
        <v>5.62510344913021</v>
      </c>
      <c r="N249">
        <f t="shared" si="93"/>
        <v>-0.985589557869786</v>
      </c>
      <c r="O249">
        <f t="shared" si="94"/>
        <v>-0.16915443658988</v>
      </c>
      <c r="P249">
        <f t="shared" si="95"/>
        <v>-0.169971679341839</v>
      </c>
      <c r="Q249">
        <f t="shared" si="96"/>
        <v>-0.097138869140625</v>
      </c>
      <c r="R249">
        <f t="shared" si="97"/>
        <v>1.00943595989792</v>
      </c>
      <c r="S249">
        <f t="shared" si="98"/>
        <v>-13.22138601</v>
      </c>
      <c r="T249">
        <f t="shared" si="99"/>
        <v>42.729875263418</v>
      </c>
      <c r="U249">
        <f t="shared" si="100"/>
        <v>5.80216068961299</v>
      </c>
      <c r="V249">
        <f t="shared" si="101"/>
        <v>-0.80853231738701</v>
      </c>
      <c r="W249">
        <f t="shared" si="102"/>
        <v>-0.571856053504608</v>
      </c>
      <c r="X249">
        <f t="shared" si="103"/>
        <v>-0.608766578981746</v>
      </c>
    </row>
    <row r="250" spans="3:24">
      <c r="C250" s="2">
        <v>1659</v>
      </c>
      <c r="D250" s="2">
        <v>1241</v>
      </c>
      <c r="E250" s="4">
        <f t="shared" si="85"/>
        <v>-10.5269522638052</v>
      </c>
      <c r="F250" s="4">
        <f t="shared" si="104"/>
        <v>174.015467571642</v>
      </c>
      <c r="G250">
        <f t="shared" si="86"/>
        <v>-0.6201171875</v>
      </c>
      <c r="H250">
        <f t="shared" si="87"/>
        <v>-0.2119140625</v>
      </c>
      <c r="I250">
        <f t="shared" si="88"/>
        <v>-0.0324294378515625</v>
      </c>
      <c r="J250">
        <f t="shared" si="89"/>
        <v>1.00105398070491</v>
      </c>
      <c r="K250">
        <f t="shared" si="90"/>
        <v>-13.22138601</v>
      </c>
      <c r="L250">
        <f t="shared" si="91"/>
        <v>42.70126204</v>
      </c>
      <c r="M250">
        <f t="shared" si="92"/>
        <v>5.62752393285898</v>
      </c>
      <c r="N250">
        <f t="shared" si="93"/>
        <v>-0.983169074141025</v>
      </c>
      <c r="O250">
        <f t="shared" si="94"/>
        <v>-0.182698034069006</v>
      </c>
      <c r="P250">
        <f t="shared" si="95"/>
        <v>-0.183729977203672</v>
      </c>
      <c r="Q250">
        <f t="shared" si="96"/>
        <v>-0.0948972029296875</v>
      </c>
      <c r="R250">
        <f t="shared" si="97"/>
        <v>1.00900547912388</v>
      </c>
      <c r="S250">
        <f t="shared" si="98"/>
        <v>-13.22138601</v>
      </c>
      <c r="T250">
        <f t="shared" si="99"/>
        <v>42.7346406116527</v>
      </c>
      <c r="U250">
        <f t="shared" si="100"/>
        <v>5.79575735301542</v>
      </c>
      <c r="V250">
        <f t="shared" si="101"/>
        <v>-0.814935653984579</v>
      </c>
      <c r="W250">
        <f t="shared" si="102"/>
        <v>-0.559416690118044</v>
      </c>
      <c r="X250">
        <f t="shared" si="103"/>
        <v>-0.593681905730517</v>
      </c>
    </row>
    <row r="251" spans="3:24">
      <c r="C251" s="2">
        <v>1656</v>
      </c>
      <c r="D251" s="2">
        <v>1253</v>
      </c>
      <c r="E251" s="4">
        <f t="shared" si="85"/>
        <v>-11.120190637708</v>
      </c>
      <c r="F251" s="4">
        <f t="shared" si="104"/>
        <v>173.913322653094</v>
      </c>
      <c r="G251">
        <f t="shared" si="86"/>
        <v>-0.6171875</v>
      </c>
      <c r="H251">
        <f t="shared" si="87"/>
        <v>-0.2236328125</v>
      </c>
      <c r="I251">
        <f t="shared" si="88"/>
        <v>-0.0342227708203125</v>
      </c>
      <c r="J251">
        <f t="shared" si="89"/>
        <v>1.00117377311359</v>
      </c>
      <c r="K251">
        <f t="shared" si="90"/>
        <v>-13.22138601</v>
      </c>
      <c r="L251">
        <f t="shared" si="91"/>
        <v>42.70126204</v>
      </c>
      <c r="M251">
        <f t="shared" si="92"/>
        <v>5.62946824734903</v>
      </c>
      <c r="N251">
        <f t="shared" si="93"/>
        <v>-0.981224759650973</v>
      </c>
      <c r="O251">
        <f t="shared" si="94"/>
        <v>-0.192867755334814</v>
      </c>
      <c r="P251">
        <f t="shared" si="95"/>
        <v>-0.194083940077452</v>
      </c>
      <c r="Q251">
        <f t="shared" si="96"/>
        <v>-0.0944488696875</v>
      </c>
      <c r="R251">
        <f t="shared" si="97"/>
        <v>1.00892058898525</v>
      </c>
      <c r="S251">
        <f t="shared" si="98"/>
        <v>-13.22138601</v>
      </c>
      <c r="T251">
        <f t="shared" si="99"/>
        <v>42.7384600110479</v>
      </c>
      <c r="U251">
        <f t="shared" si="100"/>
        <v>5.79639167833354</v>
      </c>
      <c r="V251">
        <f t="shared" si="101"/>
        <v>-0.814301328666462</v>
      </c>
      <c r="W251">
        <f t="shared" si="102"/>
        <v>-0.557938091810719</v>
      </c>
      <c r="X251">
        <f t="shared" si="103"/>
        <v>-0.591899140587673</v>
      </c>
    </row>
    <row r="252" spans="3:24">
      <c r="C252" s="2">
        <v>1662</v>
      </c>
      <c r="D252" s="2">
        <v>1267</v>
      </c>
      <c r="E252" s="4">
        <f t="shared" si="85"/>
        <v>-11.8146535129493</v>
      </c>
      <c r="F252" s="4">
        <f t="shared" si="104"/>
        <v>174.422593677232</v>
      </c>
      <c r="G252">
        <f t="shared" si="86"/>
        <v>-0.623046875</v>
      </c>
      <c r="H252">
        <f t="shared" si="87"/>
        <v>-0.2373046875</v>
      </c>
      <c r="I252">
        <f t="shared" si="88"/>
        <v>-0.0363149926171875</v>
      </c>
      <c r="J252">
        <f t="shared" si="89"/>
        <v>1.00132167824001</v>
      </c>
      <c r="K252">
        <f t="shared" si="90"/>
        <v>-13.22138601</v>
      </c>
      <c r="L252">
        <f t="shared" si="91"/>
        <v>42.70126204</v>
      </c>
      <c r="M252">
        <f t="shared" si="92"/>
        <v>5.63187795053522</v>
      </c>
      <c r="N252">
        <f t="shared" si="93"/>
        <v>-0.978815056464777</v>
      </c>
      <c r="O252">
        <f t="shared" si="94"/>
        <v>-0.204746392490456</v>
      </c>
      <c r="P252">
        <f t="shared" si="95"/>
        <v>-0.206204603783281</v>
      </c>
      <c r="Q252">
        <f t="shared" si="96"/>
        <v>-0.095345536171875</v>
      </c>
      <c r="R252">
        <f t="shared" si="97"/>
        <v>1.0090907712679</v>
      </c>
      <c r="S252">
        <f t="shared" si="98"/>
        <v>-13.22138601</v>
      </c>
      <c r="T252">
        <f t="shared" si="99"/>
        <v>42.7431831252379</v>
      </c>
      <c r="U252">
        <f t="shared" si="100"/>
        <v>5.80327762040834</v>
      </c>
      <c r="V252">
        <f t="shared" si="101"/>
        <v>-0.807415386591655</v>
      </c>
      <c r="W252">
        <f t="shared" si="102"/>
        <v>-0.565292329844458</v>
      </c>
      <c r="X252">
        <f t="shared" si="103"/>
        <v>-0.600787596743887</v>
      </c>
    </row>
    <row r="253" spans="3:24">
      <c r="C253" s="2">
        <v>1692</v>
      </c>
      <c r="D253" s="2">
        <v>1269</v>
      </c>
      <c r="E253" s="4">
        <f t="shared" si="85"/>
        <v>-11.9140790411997</v>
      </c>
      <c r="F253" s="4">
        <f t="shared" si="104"/>
        <v>176.453555744229</v>
      </c>
      <c r="G253">
        <f t="shared" si="86"/>
        <v>-0.65234375</v>
      </c>
      <c r="H253">
        <f t="shared" si="87"/>
        <v>-0.2392578125</v>
      </c>
      <c r="I253">
        <f t="shared" si="88"/>
        <v>-0.0366138814453125</v>
      </c>
      <c r="J253">
        <f t="shared" si="89"/>
        <v>1.00134352379137</v>
      </c>
      <c r="K253">
        <f t="shared" si="90"/>
        <v>-13.22138601</v>
      </c>
      <c r="L253">
        <f t="shared" si="91"/>
        <v>42.70126204</v>
      </c>
      <c r="M253">
        <f t="shared" si="92"/>
        <v>5.63223472109165</v>
      </c>
      <c r="N253">
        <f t="shared" si="93"/>
        <v>-0.97845828590835</v>
      </c>
      <c r="O253">
        <f t="shared" si="94"/>
        <v>-0.206444623900196</v>
      </c>
      <c r="P253">
        <f t="shared" si="95"/>
        <v>-0.207939906611783</v>
      </c>
      <c r="Q253">
        <f t="shared" si="96"/>
        <v>-0.09982886859375</v>
      </c>
      <c r="R253">
        <f t="shared" si="97"/>
        <v>1.00996580300471</v>
      </c>
      <c r="S253">
        <f t="shared" si="98"/>
        <v>-13.22138601</v>
      </c>
      <c r="T253">
        <f t="shared" si="99"/>
        <v>42.7438814227373</v>
      </c>
      <c r="U253">
        <f t="shared" si="100"/>
        <v>5.82368107976498</v>
      </c>
      <c r="V253">
        <f t="shared" si="101"/>
        <v>-0.787011927235024</v>
      </c>
      <c r="W253">
        <f t="shared" si="102"/>
        <v>-0.594170980862731</v>
      </c>
      <c r="X253">
        <f t="shared" si="103"/>
        <v>-0.636234571796088</v>
      </c>
    </row>
    <row r="254" spans="3:24">
      <c r="C254" s="2">
        <v>1685</v>
      </c>
      <c r="D254" s="2">
        <v>1264</v>
      </c>
      <c r="E254" s="4">
        <f t="shared" si="85"/>
        <v>-11.665618557064</v>
      </c>
      <c r="F254" s="4">
        <f t="shared" si="104"/>
        <v>175.930869464504</v>
      </c>
      <c r="G254">
        <f t="shared" si="86"/>
        <v>-0.6455078125</v>
      </c>
      <c r="H254">
        <f t="shared" si="87"/>
        <v>-0.234375</v>
      </c>
      <c r="I254">
        <f t="shared" si="88"/>
        <v>-0.035866659375</v>
      </c>
      <c r="J254">
        <f t="shared" si="89"/>
        <v>1.00128924565403</v>
      </c>
      <c r="K254">
        <f t="shared" si="90"/>
        <v>-13.22138601</v>
      </c>
      <c r="L254">
        <f t="shared" si="91"/>
        <v>42.70126204</v>
      </c>
      <c r="M254">
        <f t="shared" si="92"/>
        <v>5.63134868623964</v>
      </c>
      <c r="N254">
        <f t="shared" si="93"/>
        <v>-0.979344320760359</v>
      </c>
      <c r="O254">
        <f t="shared" si="94"/>
        <v>-0.202199657255969</v>
      </c>
      <c r="P254">
        <f t="shared" si="95"/>
        <v>-0.203603453102518</v>
      </c>
      <c r="Q254">
        <f t="shared" si="96"/>
        <v>-0.0987827576953125</v>
      </c>
      <c r="R254">
        <f t="shared" si="97"/>
        <v>1.00975803321789</v>
      </c>
      <c r="S254">
        <f t="shared" si="98"/>
        <v>-13.22138601</v>
      </c>
      <c r="T254">
        <f t="shared" si="99"/>
        <v>42.7421467413944</v>
      </c>
      <c r="U254">
        <f t="shared" si="100"/>
        <v>5.81769283844946</v>
      </c>
      <c r="V254">
        <f t="shared" si="101"/>
        <v>-0.793000168550537</v>
      </c>
      <c r="W254">
        <f t="shared" si="102"/>
        <v>-0.586808700817277</v>
      </c>
      <c r="X254">
        <f t="shared" si="103"/>
        <v>-0.627111975259893</v>
      </c>
    </row>
    <row r="255" spans="3:24">
      <c r="C255" s="2">
        <v>1674</v>
      </c>
      <c r="D255" s="2">
        <v>1292</v>
      </c>
      <c r="E255" s="4">
        <f t="shared" si="85"/>
        <v>-13.0616161655503</v>
      </c>
      <c r="F255" s="4">
        <f t="shared" si="104"/>
        <v>175.456566311325</v>
      </c>
      <c r="G255">
        <f t="shared" si="86"/>
        <v>-0.634765625</v>
      </c>
      <c r="H255">
        <f t="shared" si="87"/>
        <v>-0.26171875</v>
      </c>
      <c r="I255">
        <f t="shared" si="88"/>
        <v>-0.04005110296875</v>
      </c>
      <c r="J255">
        <f t="shared" si="89"/>
        <v>1.00160761770582</v>
      </c>
      <c r="K255">
        <f t="shared" si="90"/>
        <v>-13.22138601</v>
      </c>
      <c r="L255">
        <f t="shared" si="91"/>
        <v>42.70126204</v>
      </c>
      <c r="M255">
        <f t="shared" si="92"/>
        <v>5.63656541907543</v>
      </c>
      <c r="N255">
        <f t="shared" si="93"/>
        <v>-0.974127587924567</v>
      </c>
      <c r="O255">
        <f t="shared" si="94"/>
        <v>-0.225998766466246</v>
      </c>
      <c r="P255">
        <f t="shared" si="95"/>
        <v>-0.227968207720569</v>
      </c>
      <c r="Q255">
        <f t="shared" si="96"/>
        <v>-0.097138869140625</v>
      </c>
      <c r="R255">
        <f t="shared" si="97"/>
        <v>1.00943595989792</v>
      </c>
      <c r="S255">
        <f t="shared" si="98"/>
        <v>-13.22138601</v>
      </c>
      <c r="T255">
        <f t="shared" si="99"/>
        <v>42.7523374824443</v>
      </c>
      <c r="U255">
        <f t="shared" si="100"/>
        <v>5.81721202977668</v>
      </c>
      <c r="V255">
        <f t="shared" si="101"/>
        <v>-0.793480977223322</v>
      </c>
      <c r="W255">
        <f t="shared" si="102"/>
        <v>-0.58008563979665</v>
      </c>
      <c r="X255">
        <f t="shared" si="103"/>
        <v>-0.618833823584329</v>
      </c>
    </row>
    <row r="256" spans="3:24">
      <c r="C256" s="2">
        <v>1704</v>
      </c>
      <c r="D256" s="2">
        <v>1311</v>
      </c>
      <c r="E256" s="4">
        <f t="shared" si="85"/>
        <v>-14.0157402006321</v>
      </c>
      <c r="F256" s="4">
        <f t="shared" si="104"/>
        <v>177.737243124253</v>
      </c>
      <c r="G256">
        <f t="shared" si="86"/>
        <v>-0.6640625</v>
      </c>
      <c r="H256">
        <f t="shared" si="87"/>
        <v>-0.2802734375</v>
      </c>
      <c r="I256">
        <f t="shared" si="88"/>
        <v>-0.0428905468359375</v>
      </c>
      <c r="J256">
        <f t="shared" si="89"/>
        <v>1.001843643668</v>
      </c>
      <c r="K256">
        <f t="shared" si="90"/>
        <v>-13.22138601</v>
      </c>
      <c r="L256">
        <f t="shared" si="91"/>
        <v>42.70126204</v>
      </c>
      <c r="M256">
        <f t="shared" si="92"/>
        <v>5.64046377771552</v>
      </c>
      <c r="N256">
        <f t="shared" si="93"/>
        <v>-0.970229229284476</v>
      </c>
      <c r="O256">
        <f t="shared" si="94"/>
        <v>-0.242188444484976</v>
      </c>
      <c r="P256">
        <f t="shared" si="95"/>
        <v>-0.24462081360516</v>
      </c>
      <c r="Q256">
        <f t="shared" si="96"/>
        <v>-0.1016222015625</v>
      </c>
      <c r="R256">
        <f t="shared" si="97"/>
        <v>1.01032707185041</v>
      </c>
      <c r="S256">
        <f t="shared" si="98"/>
        <v>-13.22138601</v>
      </c>
      <c r="T256">
        <f t="shared" si="99"/>
        <v>42.7599172826421</v>
      </c>
      <c r="U256">
        <f t="shared" si="100"/>
        <v>5.84341063846733</v>
      </c>
      <c r="V256">
        <f t="shared" si="101"/>
        <v>-0.767282368532672</v>
      </c>
      <c r="W256">
        <f t="shared" si="102"/>
        <v>-0.612041218235607</v>
      </c>
      <c r="X256">
        <f t="shared" si="103"/>
        <v>-0.65863914314381</v>
      </c>
    </row>
    <row r="257" spans="3:24">
      <c r="C257" s="2">
        <v>1730</v>
      </c>
      <c r="D257" s="2">
        <v>1326</v>
      </c>
      <c r="E257" s="4">
        <f t="shared" si="85"/>
        <v>-14.7732815016725</v>
      </c>
      <c r="F257" s="4">
        <f t="shared" si="104"/>
        <v>179.812683076014</v>
      </c>
      <c r="G257">
        <f t="shared" si="86"/>
        <v>-0.689453125</v>
      </c>
      <c r="H257">
        <f t="shared" si="87"/>
        <v>-0.294921875</v>
      </c>
      <c r="I257">
        <f t="shared" si="88"/>
        <v>-0.045132213046875</v>
      </c>
      <c r="J257">
        <f t="shared" si="89"/>
        <v>1.00204139514983</v>
      </c>
      <c r="K257">
        <f t="shared" si="90"/>
        <v>-13.22138601</v>
      </c>
      <c r="L257">
        <f t="shared" si="91"/>
        <v>42.70126204</v>
      </c>
      <c r="M257">
        <f t="shared" si="92"/>
        <v>5.64375060258343</v>
      </c>
      <c r="N257">
        <f t="shared" si="93"/>
        <v>-0.966942404416569</v>
      </c>
      <c r="O257">
        <f t="shared" si="94"/>
        <v>-0.254994875519302</v>
      </c>
      <c r="P257">
        <f t="shared" si="95"/>
        <v>-0.257842403528157</v>
      </c>
      <c r="Q257">
        <f t="shared" si="96"/>
        <v>-0.105507756328125</v>
      </c>
      <c r="R257">
        <f t="shared" si="97"/>
        <v>1.0111318866454</v>
      </c>
      <c r="S257">
        <f t="shared" si="98"/>
        <v>-13.22138601</v>
      </c>
      <c r="T257">
        <f t="shared" si="99"/>
        <v>42.7662844265411</v>
      </c>
      <c r="U257">
        <f t="shared" si="100"/>
        <v>5.86794411910895</v>
      </c>
      <c r="V257">
        <f t="shared" si="101"/>
        <v>-0.742748887891049</v>
      </c>
      <c r="W257">
        <f t="shared" si="102"/>
        <v>-0.640279752144425</v>
      </c>
      <c r="X257">
        <f t="shared" si="103"/>
        <v>-0.694862403729471</v>
      </c>
    </row>
    <row r="258" spans="3:24">
      <c r="C258" s="2">
        <v>1752</v>
      </c>
      <c r="D258" s="2">
        <v>1339</v>
      </c>
      <c r="E258" s="4">
        <f t="shared" si="85"/>
        <v>-15.4330905738844</v>
      </c>
      <c r="F258" s="4">
        <f t="shared" si="104"/>
        <v>-178.32920282189</v>
      </c>
      <c r="G258">
        <f t="shared" si="86"/>
        <v>-0.7109375</v>
      </c>
      <c r="H258">
        <f t="shared" si="87"/>
        <v>-0.3076171875</v>
      </c>
      <c r="I258">
        <f t="shared" si="88"/>
        <v>-0.0470749904296875</v>
      </c>
      <c r="J258">
        <f t="shared" si="89"/>
        <v>1.0022209270837</v>
      </c>
      <c r="K258">
        <f t="shared" si="90"/>
        <v>-13.22138601</v>
      </c>
      <c r="L258">
        <f t="shared" si="91"/>
        <v>42.70126204</v>
      </c>
      <c r="M258">
        <f t="shared" si="92"/>
        <v>5.64675113268345</v>
      </c>
      <c r="N258">
        <f t="shared" si="93"/>
        <v>-0.96394187431655</v>
      </c>
      <c r="O258">
        <f t="shared" si="94"/>
        <v>-0.266112876312095</v>
      </c>
      <c r="P258">
        <f t="shared" si="95"/>
        <v>-0.269358244272784</v>
      </c>
      <c r="Q258">
        <f t="shared" si="96"/>
        <v>-0.1087955334375</v>
      </c>
      <c r="R258">
        <f t="shared" si="97"/>
        <v>1.01183646809595</v>
      </c>
      <c r="S258">
        <f t="shared" si="98"/>
        <v>-13.22138601</v>
      </c>
      <c r="T258">
        <f t="shared" si="99"/>
        <v>42.7720781029391</v>
      </c>
      <c r="U258">
        <f t="shared" si="100"/>
        <v>5.89065045923762</v>
      </c>
      <c r="V258">
        <f t="shared" si="101"/>
        <v>-0.720042547762383</v>
      </c>
      <c r="W258">
        <f t="shared" si="102"/>
        <v>-0.664849717689083</v>
      </c>
      <c r="X258">
        <f t="shared" si="103"/>
        <v>-0.72729261268879</v>
      </c>
    </row>
    <row r="259" spans="3:24">
      <c r="C259" s="2">
        <v>1777</v>
      </c>
      <c r="D259" s="2">
        <v>1350</v>
      </c>
      <c r="E259" s="4">
        <f t="shared" si="85"/>
        <v>-15.993898632199</v>
      </c>
      <c r="F259" s="4">
        <f t="shared" si="104"/>
        <v>-176.155152069081</v>
      </c>
      <c r="G259">
        <f t="shared" si="86"/>
        <v>-0.7353515625</v>
      </c>
      <c r="H259">
        <f t="shared" si="87"/>
        <v>-0.318359375</v>
      </c>
      <c r="I259">
        <f t="shared" si="88"/>
        <v>-0.048718878984375</v>
      </c>
      <c r="J259">
        <f t="shared" si="89"/>
        <v>1.00237874776263</v>
      </c>
      <c r="K259">
        <f t="shared" si="90"/>
        <v>-13.22138601</v>
      </c>
      <c r="L259">
        <f t="shared" si="91"/>
        <v>42.70126204</v>
      </c>
      <c r="M259">
        <f t="shared" si="92"/>
        <v>5.64940196417751</v>
      </c>
      <c r="N259">
        <f t="shared" si="93"/>
        <v>-0.961291042822491</v>
      </c>
      <c r="O259">
        <f t="shared" si="94"/>
        <v>-0.275534990498936</v>
      </c>
      <c r="P259">
        <f t="shared" si="95"/>
        <v>-0.27914619136209</v>
      </c>
      <c r="Q259">
        <f t="shared" si="96"/>
        <v>-0.112531643789063</v>
      </c>
      <c r="R259">
        <f t="shared" si="97"/>
        <v>1.01266337085387</v>
      </c>
      <c r="S259">
        <f t="shared" si="98"/>
        <v>-13.22138601</v>
      </c>
      <c r="T259">
        <f t="shared" si="99"/>
        <v>42.7771815709892</v>
      </c>
      <c r="U259">
        <f t="shared" si="100"/>
        <v>5.9173923767259</v>
      </c>
      <c r="V259">
        <f t="shared" si="101"/>
        <v>-0.693300630274105</v>
      </c>
      <c r="W259">
        <f t="shared" si="102"/>
        <v>-0.692707915308033</v>
      </c>
      <c r="X259">
        <f t="shared" si="103"/>
        <v>-0.765236956430767</v>
      </c>
    </row>
    <row r="260" spans="3:24">
      <c r="C260" s="2">
        <v>1793</v>
      </c>
      <c r="D260" s="2">
        <v>1361</v>
      </c>
      <c r="E260" s="4">
        <f t="shared" si="85"/>
        <v>-16.5571197904062</v>
      </c>
      <c r="F260" s="4">
        <f t="shared" si="104"/>
        <v>-174.612632039204</v>
      </c>
      <c r="G260">
        <f t="shared" si="86"/>
        <v>-0.7509765625</v>
      </c>
      <c r="H260">
        <f t="shared" si="87"/>
        <v>-0.3291015625</v>
      </c>
      <c r="I260">
        <f t="shared" si="88"/>
        <v>-0.0503627675390625</v>
      </c>
      <c r="J260">
        <f t="shared" si="89"/>
        <v>1.00254198506393</v>
      </c>
      <c r="K260">
        <f t="shared" si="90"/>
        <v>-13.22138601</v>
      </c>
      <c r="L260">
        <f t="shared" si="91"/>
        <v>42.70126204</v>
      </c>
      <c r="M260">
        <f t="shared" si="92"/>
        <v>5.65215689152035</v>
      </c>
      <c r="N260">
        <f t="shared" si="93"/>
        <v>-0.958536115479651</v>
      </c>
      <c r="O260">
        <f t="shared" si="94"/>
        <v>-0.284971078043335</v>
      </c>
      <c r="P260">
        <f t="shared" si="95"/>
        <v>-0.288976254989702</v>
      </c>
      <c r="Q260">
        <f t="shared" si="96"/>
        <v>-0.114922754414063</v>
      </c>
      <c r="R260">
        <f t="shared" si="97"/>
        <v>1.01320723948211</v>
      </c>
      <c r="S260">
        <f t="shared" si="98"/>
        <v>-13.22138601</v>
      </c>
      <c r="T260">
        <f t="shared" si="99"/>
        <v>42.7824705553212</v>
      </c>
      <c r="U260">
        <f t="shared" si="100"/>
        <v>5.93750349164153</v>
      </c>
      <c r="V260">
        <f t="shared" si="101"/>
        <v>-0.673189515358472</v>
      </c>
      <c r="W260">
        <f t="shared" si="102"/>
        <v>-0.711871224529618</v>
      </c>
      <c r="X260">
        <f t="shared" si="103"/>
        <v>-0.792159009730074</v>
      </c>
    </row>
    <row r="261" spans="5:24">
      <c r="E261" s="4" t="e">
        <f t="shared" si="85"/>
        <v>#NUM!</v>
      </c>
      <c r="F261" s="4" t="e">
        <f t="shared" si="104"/>
        <v>#NUM!</v>
      </c>
      <c r="G261">
        <f t="shared" si="86"/>
        <v>1</v>
      </c>
      <c r="H261">
        <f t="shared" si="87"/>
        <v>1</v>
      </c>
      <c r="I261">
        <f t="shared" si="88"/>
        <v>0.15303108</v>
      </c>
      <c r="J261">
        <f t="shared" si="89"/>
        <v>1.02347000088402</v>
      </c>
      <c r="K261">
        <f t="shared" si="90"/>
        <v>-13.22138601</v>
      </c>
      <c r="L261">
        <f t="shared" si="91"/>
        <v>42.70126204</v>
      </c>
      <c r="M261" t="e">
        <f t="shared" si="92"/>
        <v>#NUM!</v>
      </c>
      <c r="N261" t="e">
        <f t="shared" si="93"/>
        <v>#NUM!</v>
      </c>
      <c r="O261" t="e">
        <f t="shared" si="94"/>
        <v>#NUM!</v>
      </c>
      <c r="P261" t="e">
        <f t="shared" si="95"/>
        <v>#NUM!</v>
      </c>
      <c r="Q261">
        <f t="shared" si="96"/>
        <v>0.15303108</v>
      </c>
      <c r="R261">
        <f t="shared" si="97"/>
        <v>1.02341851144597</v>
      </c>
      <c r="S261">
        <f t="shared" si="98"/>
        <v>-13.22138601</v>
      </c>
      <c r="T261" t="e">
        <f t="shared" si="99"/>
        <v>#NUM!</v>
      </c>
      <c r="U261" t="e">
        <f t="shared" si="100"/>
        <v>#NUM!</v>
      </c>
      <c r="V261" t="e">
        <f t="shared" si="101"/>
        <v>#NUM!</v>
      </c>
      <c r="W261" t="e">
        <f t="shared" si="102"/>
        <v>#NUM!</v>
      </c>
      <c r="X261" t="e">
        <f t="shared" si="103"/>
        <v>#NUM!</v>
      </c>
    </row>
    <row r="262" spans="3:24">
      <c r="C262" s="2">
        <v>1451</v>
      </c>
      <c r="D262" s="2">
        <v>1239</v>
      </c>
      <c r="E262" s="4">
        <f t="shared" si="85"/>
        <v>-10.4282516097841</v>
      </c>
      <c r="F262" s="4">
        <f t="shared" si="104"/>
        <v>161.693312884519</v>
      </c>
      <c r="G262">
        <f t="shared" si="86"/>
        <v>-0.4169921875</v>
      </c>
      <c r="H262">
        <f t="shared" si="87"/>
        <v>-0.2099609375</v>
      </c>
      <c r="I262">
        <f t="shared" si="88"/>
        <v>-0.0321305490234375</v>
      </c>
      <c r="J262">
        <f t="shared" si="89"/>
        <v>1.0010346420201</v>
      </c>
      <c r="K262">
        <f t="shared" si="90"/>
        <v>-13.22138601</v>
      </c>
      <c r="L262">
        <f t="shared" si="91"/>
        <v>42.70126204</v>
      </c>
      <c r="M262">
        <f t="shared" si="92"/>
        <v>5.62721066678335</v>
      </c>
      <c r="N262">
        <f t="shared" si="93"/>
        <v>-0.983482340216654</v>
      </c>
      <c r="O262">
        <f t="shared" si="94"/>
        <v>-0.181004106257214</v>
      </c>
      <c r="P262">
        <f t="shared" si="95"/>
        <v>-0.182007325817131</v>
      </c>
      <c r="Q262">
        <f t="shared" si="96"/>
        <v>-0.0638127648046875</v>
      </c>
      <c r="R262">
        <f t="shared" si="97"/>
        <v>1.00407206895202</v>
      </c>
      <c r="S262">
        <f t="shared" si="98"/>
        <v>-13.22138601</v>
      </c>
      <c r="T262">
        <f t="shared" si="99"/>
        <v>42.734024526482</v>
      </c>
      <c r="U262">
        <f t="shared" si="100"/>
        <v>5.69686509625117</v>
      </c>
      <c r="V262">
        <f t="shared" si="101"/>
        <v>-0.913827910748834</v>
      </c>
      <c r="W262">
        <f t="shared" si="102"/>
        <v>-0.369638313665429</v>
      </c>
      <c r="X262">
        <f t="shared" si="103"/>
        <v>-0.378619735500167</v>
      </c>
    </row>
    <row r="263" spans="3:24">
      <c r="C263" s="2">
        <v>1460</v>
      </c>
      <c r="D263" s="2">
        <v>1252</v>
      </c>
      <c r="E263" s="4">
        <f t="shared" si="85"/>
        <v>-11.070684840782</v>
      </c>
      <c r="F263" s="4">
        <f t="shared" si="104"/>
        <v>162.246872699783</v>
      </c>
      <c r="G263">
        <f t="shared" si="86"/>
        <v>-0.42578125</v>
      </c>
      <c r="H263">
        <f t="shared" si="87"/>
        <v>-0.22265625</v>
      </c>
      <c r="I263">
        <f t="shared" si="88"/>
        <v>-0.03407332640625</v>
      </c>
      <c r="J263">
        <f t="shared" si="89"/>
        <v>1.00116354420276</v>
      </c>
      <c r="K263">
        <f t="shared" si="90"/>
        <v>-13.22138601</v>
      </c>
      <c r="L263">
        <f t="shared" si="91"/>
        <v>42.70126204</v>
      </c>
      <c r="M263">
        <f t="shared" si="92"/>
        <v>5.62930196835073</v>
      </c>
      <c r="N263">
        <f t="shared" si="93"/>
        <v>-0.981391038649267</v>
      </c>
      <c r="O263">
        <f t="shared" si="94"/>
        <v>-0.19201986683391</v>
      </c>
      <c r="P263">
        <f t="shared" si="95"/>
        <v>-0.193219900922271</v>
      </c>
      <c r="Q263">
        <f t="shared" si="96"/>
        <v>-0.06515776453125</v>
      </c>
      <c r="R263">
        <f t="shared" si="97"/>
        <v>1.00424553427871</v>
      </c>
      <c r="S263">
        <f t="shared" si="98"/>
        <v>-13.22138601</v>
      </c>
      <c r="T263">
        <f t="shared" si="99"/>
        <v>42.7381336692589</v>
      </c>
      <c r="U263">
        <f t="shared" si="100"/>
        <v>5.70235556912012</v>
      </c>
      <c r="V263">
        <f t="shared" si="101"/>
        <v>-0.908337437879879</v>
      </c>
      <c r="W263">
        <f t="shared" si="102"/>
        <v>-0.378598099227731</v>
      </c>
      <c r="X263">
        <f t="shared" si="103"/>
        <v>-0.388281176883247</v>
      </c>
    </row>
    <row r="264" spans="3:24">
      <c r="C264" s="2">
        <v>1457</v>
      </c>
      <c r="D264" s="2">
        <v>1269</v>
      </c>
      <c r="E264" s="4">
        <f t="shared" si="85"/>
        <v>-11.9140790411997</v>
      </c>
      <c r="F264" s="4">
        <f t="shared" si="104"/>
        <v>162.164331217099</v>
      </c>
      <c r="G264">
        <f t="shared" si="86"/>
        <v>-0.4228515625</v>
      </c>
      <c r="H264">
        <f t="shared" si="87"/>
        <v>-0.2392578125</v>
      </c>
      <c r="I264">
        <f t="shared" si="88"/>
        <v>-0.0366138814453125</v>
      </c>
      <c r="J264">
        <f t="shared" si="89"/>
        <v>1.00134352379137</v>
      </c>
      <c r="K264">
        <f t="shared" si="90"/>
        <v>-13.22138601</v>
      </c>
      <c r="L264">
        <f t="shared" si="91"/>
        <v>42.70126204</v>
      </c>
      <c r="M264">
        <f t="shared" si="92"/>
        <v>5.63223472109165</v>
      </c>
      <c r="N264">
        <f t="shared" si="93"/>
        <v>-0.97845828590835</v>
      </c>
      <c r="O264">
        <f t="shared" si="94"/>
        <v>-0.206444623900196</v>
      </c>
      <c r="P264">
        <f t="shared" si="95"/>
        <v>-0.207939906611783</v>
      </c>
      <c r="Q264">
        <f t="shared" si="96"/>
        <v>-0.0647094312890625</v>
      </c>
      <c r="R264">
        <f t="shared" si="97"/>
        <v>1.00418731049775</v>
      </c>
      <c r="S264">
        <f t="shared" si="98"/>
        <v>-13.22138601</v>
      </c>
      <c r="T264">
        <f t="shared" si="99"/>
        <v>42.7438814227373</v>
      </c>
      <c r="U264">
        <f t="shared" si="100"/>
        <v>5.70453728408575</v>
      </c>
      <c r="V264">
        <f t="shared" si="101"/>
        <v>-0.906155722914255</v>
      </c>
      <c r="W264">
        <f t="shared" si="102"/>
        <v>-0.377264324292971</v>
      </c>
      <c r="X264">
        <f t="shared" si="103"/>
        <v>-0.386840556240946</v>
      </c>
    </row>
    <row r="265" spans="3:24">
      <c r="C265" s="2">
        <v>1448</v>
      </c>
      <c r="D265" s="2">
        <v>1273</v>
      </c>
      <c r="E265" s="4">
        <f t="shared" si="85"/>
        <v>-12.1130978572871</v>
      </c>
      <c r="F265" s="4">
        <f t="shared" si="104"/>
        <v>161.687399793572</v>
      </c>
      <c r="G265">
        <f t="shared" si="86"/>
        <v>-0.4140625</v>
      </c>
      <c r="H265">
        <f t="shared" si="87"/>
        <v>-0.2431640625</v>
      </c>
      <c r="I265">
        <f t="shared" si="88"/>
        <v>-0.0372116591015625</v>
      </c>
      <c r="J265">
        <f t="shared" si="89"/>
        <v>1.00138775207978</v>
      </c>
      <c r="K265">
        <f t="shared" si="90"/>
        <v>-13.22138601</v>
      </c>
      <c r="L265">
        <f t="shared" si="91"/>
        <v>42.70126204</v>
      </c>
      <c r="M265">
        <f t="shared" si="92"/>
        <v>5.63295771474709</v>
      </c>
      <c r="N265">
        <f t="shared" si="93"/>
        <v>-0.977735292252912</v>
      </c>
      <c r="O265">
        <f t="shared" si="94"/>
        <v>-0.20984207939094</v>
      </c>
      <c r="P265">
        <f t="shared" si="95"/>
        <v>-0.211413440225931</v>
      </c>
      <c r="Q265">
        <f t="shared" si="96"/>
        <v>-0.0633644315625</v>
      </c>
      <c r="R265">
        <f t="shared" si="97"/>
        <v>1.00401505118724</v>
      </c>
      <c r="S265">
        <f t="shared" si="98"/>
        <v>-13.22138601</v>
      </c>
      <c r="T265">
        <f t="shared" si="99"/>
        <v>42.7452957382831</v>
      </c>
      <c r="U265">
        <f t="shared" si="100"/>
        <v>5.70216782011438</v>
      </c>
      <c r="V265">
        <f t="shared" si="101"/>
        <v>-0.908525186885623</v>
      </c>
      <c r="W265">
        <f t="shared" si="102"/>
        <v>-0.369542418062721</v>
      </c>
      <c r="X265">
        <f t="shared" si="103"/>
        <v>-0.37851653259417</v>
      </c>
    </row>
    <row r="266" spans="3:24">
      <c r="C266" s="2">
        <v>1470</v>
      </c>
      <c r="D266" s="2">
        <v>1260</v>
      </c>
      <c r="E266" s="4">
        <f t="shared" si="85"/>
        <v>-11.4670953716337</v>
      </c>
      <c r="F266" s="4">
        <f t="shared" si="104"/>
        <v>162.840407321202</v>
      </c>
      <c r="G266">
        <f t="shared" si="86"/>
        <v>-0.435546875</v>
      </c>
      <c r="H266">
        <f t="shared" si="87"/>
        <v>-0.23046875</v>
      </c>
      <c r="I266">
        <f t="shared" si="88"/>
        <v>-0.03526888171875</v>
      </c>
      <c r="J266">
        <f t="shared" si="89"/>
        <v>1.00124662892269</v>
      </c>
      <c r="K266">
        <f t="shared" si="90"/>
        <v>-13.22138601</v>
      </c>
      <c r="L266">
        <f t="shared" si="91"/>
        <v>42.70126204</v>
      </c>
      <c r="M266">
        <f t="shared" si="92"/>
        <v>5.63065396815248</v>
      </c>
      <c r="N266">
        <f t="shared" si="93"/>
        <v>-0.980039038847525</v>
      </c>
      <c r="O266">
        <f t="shared" si="94"/>
        <v>-0.198805136590631</v>
      </c>
      <c r="P266">
        <f t="shared" si="95"/>
        <v>-0.200138569875211</v>
      </c>
      <c r="Q266">
        <f t="shared" si="96"/>
        <v>-0.066652208671875</v>
      </c>
      <c r="R266">
        <f t="shared" si="97"/>
        <v>1.00444251692084</v>
      </c>
      <c r="S266">
        <f t="shared" si="98"/>
        <v>-13.22138601</v>
      </c>
      <c r="T266">
        <f t="shared" si="99"/>
        <v>42.7407855223348</v>
      </c>
      <c r="U266">
        <f t="shared" si="100"/>
        <v>5.70749919125499</v>
      </c>
      <c r="V266">
        <f t="shared" si="101"/>
        <v>-0.903193815745013</v>
      </c>
      <c r="W266">
        <f t="shared" si="102"/>
        <v>-0.3881656255336</v>
      </c>
      <c r="X266">
        <f t="shared" si="103"/>
        <v>-0.398640310251596</v>
      </c>
    </row>
    <row r="267" spans="3:24">
      <c r="C267" s="2">
        <v>1483</v>
      </c>
      <c r="D267" s="2">
        <v>1272</v>
      </c>
      <c r="E267" s="4">
        <f t="shared" si="85"/>
        <v>-12.0633220144697</v>
      </c>
      <c r="F267" s="4">
        <f t="shared" si="104"/>
        <v>163.631801173375</v>
      </c>
      <c r="G267">
        <f t="shared" si="86"/>
        <v>-0.4482421875</v>
      </c>
      <c r="H267">
        <f t="shared" si="87"/>
        <v>-0.2421875</v>
      </c>
      <c r="I267">
        <f t="shared" si="88"/>
        <v>-0.0370622146875</v>
      </c>
      <c r="J267">
        <f t="shared" si="89"/>
        <v>1.00137662785947</v>
      </c>
      <c r="K267">
        <f t="shared" si="90"/>
        <v>-13.22138601</v>
      </c>
      <c r="L267">
        <f t="shared" si="91"/>
        <v>42.70126204</v>
      </c>
      <c r="M267">
        <f t="shared" si="92"/>
        <v>5.63277578293481</v>
      </c>
      <c r="N267">
        <f t="shared" si="93"/>
        <v>-0.977917224065189</v>
      </c>
      <c r="O267">
        <f t="shared" si="94"/>
        <v>-0.208992590482616</v>
      </c>
      <c r="P267">
        <f t="shared" si="95"/>
        <v>-0.210544687880811</v>
      </c>
      <c r="Q267">
        <f t="shared" si="96"/>
        <v>-0.0685949860546875</v>
      </c>
      <c r="R267">
        <f t="shared" si="97"/>
        <v>1.00470527211184</v>
      </c>
      <c r="S267">
        <f t="shared" si="98"/>
        <v>-13.22138601</v>
      </c>
      <c r="T267">
        <f t="shared" si="99"/>
        <v>42.7449399428766</v>
      </c>
      <c r="U267">
        <f t="shared" si="100"/>
        <v>5.71478354912367</v>
      </c>
      <c r="V267">
        <f t="shared" si="101"/>
        <v>-0.895909457876329</v>
      </c>
      <c r="W267">
        <f t="shared" si="102"/>
        <v>-0.400857584418036</v>
      </c>
      <c r="X267">
        <f t="shared" si="103"/>
        <v>-0.412452738652057</v>
      </c>
    </row>
    <row r="268" spans="3:24">
      <c r="C268" s="2">
        <v>1518</v>
      </c>
      <c r="D268" s="2">
        <v>1290</v>
      </c>
      <c r="E268" s="4">
        <f t="shared" si="85"/>
        <v>-12.9615165754002</v>
      </c>
      <c r="F268" s="4">
        <f t="shared" si="104"/>
        <v>165.740639825173</v>
      </c>
      <c r="G268">
        <f t="shared" si="86"/>
        <v>-0.482421875</v>
      </c>
      <c r="H268">
        <f t="shared" si="87"/>
        <v>-0.259765625</v>
      </c>
      <c r="I268">
        <f t="shared" si="88"/>
        <v>-0.039752214140625</v>
      </c>
      <c r="J268">
        <f t="shared" si="89"/>
        <v>1.00158371294265</v>
      </c>
      <c r="K268">
        <f t="shared" si="90"/>
        <v>-13.22138601</v>
      </c>
      <c r="L268">
        <f t="shared" si="91"/>
        <v>42.70126204</v>
      </c>
      <c r="M268">
        <f t="shared" si="92"/>
        <v>5.63617207083008</v>
      </c>
      <c r="N268">
        <f t="shared" si="93"/>
        <v>-0.97452093616992</v>
      </c>
      <c r="O268">
        <f t="shared" si="94"/>
        <v>-0.224296555850735</v>
      </c>
      <c r="P268">
        <f t="shared" si="95"/>
        <v>-0.226221140292554</v>
      </c>
      <c r="Q268">
        <f t="shared" si="96"/>
        <v>-0.073825540546875</v>
      </c>
      <c r="R268">
        <f t="shared" si="97"/>
        <v>1.00545021043704</v>
      </c>
      <c r="S268">
        <f t="shared" si="98"/>
        <v>-13.22138601</v>
      </c>
      <c r="T268">
        <f t="shared" si="99"/>
        <v>42.7515709849665</v>
      </c>
      <c r="U268">
        <f t="shared" si="100"/>
        <v>5.73287456213382</v>
      </c>
      <c r="V268">
        <f t="shared" si="101"/>
        <v>-0.877818444866182</v>
      </c>
      <c r="W268">
        <f t="shared" si="102"/>
        <v>-0.43429810825691</v>
      </c>
      <c r="X268">
        <f t="shared" si="103"/>
        <v>-0.449258916519249</v>
      </c>
    </row>
    <row r="269" spans="3:24">
      <c r="C269" s="2">
        <v>1563</v>
      </c>
      <c r="D269" s="2">
        <v>1315</v>
      </c>
      <c r="E269" s="4">
        <f t="shared" si="85"/>
        <v>-14.2173689813121</v>
      </c>
      <c r="F269" s="4">
        <f t="shared" si="104"/>
        <v>168.593598868444</v>
      </c>
      <c r="G269">
        <f t="shared" si="86"/>
        <v>-0.5263671875</v>
      </c>
      <c r="H269">
        <f t="shared" si="87"/>
        <v>-0.2841796875</v>
      </c>
      <c r="I269">
        <f t="shared" si="88"/>
        <v>-0.0434883244921875</v>
      </c>
      <c r="J269">
        <f t="shared" si="89"/>
        <v>1.00189539255606</v>
      </c>
      <c r="K269">
        <f t="shared" si="90"/>
        <v>-13.22138601</v>
      </c>
      <c r="L269">
        <f t="shared" si="91"/>
        <v>42.70126204</v>
      </c>
      <c r="M269">
        <f t="shared" si="92"/>
        <v>5.64132206557961</v>
      </c>
      <c r="N269">
        <f t="shared" si="93"/>
        <v>-0.969370941420386</v>
      </c>
      <c r="O269">
        <f t="shared" si="94"/>
        <v>-0.245601257997094</v>
      </c>
      <c r="P269">
        <f t="shared" si="95"/>
        <v>-0.248139899694808</v>
      </c>
      <c r="Q269">
        <f t="shared" si="96"/>
        <v>-0.0805505391796875</v>
      </c>
      <c r="R269">
        <f t="shared" si="97"/>
        <v>1.00648838936214</v>
      </c>
      <c r="S269">
        <f t="shared" si="98"/>
        <v>-13.22138601</v>
      </c>
      <c r="T269">
        <f t="shared" si="99"/>
        <v>42.7615820179298</v>
      </c>
      <c r="U269">
        <f t="shared" si="100"/>
        <v>5.75954998705965</v>
      </c>
      <c r="V269">
        <f t="shared" si="101"/>
        <v>-0.851143019940349</v>
      </c>
      <c r="W269">
        <f t="shared" si="102"/>
        <v>-0.478593765974126</v>
      </c>
      <c r="X269">
        <f t="shared" si="103"/>
        <v>-0.499052445248877</v>
      </c>
    </row>
    <row r="270" spans="3:24">
      <c r="C270" s="2">
        <v>1625</v>
      </c>
      <c r="D270" s="2">
        <v>1322</v>
      </c>
      <c r="E270" s="4">
        <f t="shared" si="85"/>
        <v>-14.5708843782517</v>
      </c>
      <c r="F270" s="4">
        <f t="shared" si="104"/>
        <v>172.530855682158</v>
      </c>
      <c r="G270">
        <f t="shared" si="86"/>
        <v>-0.5869140625</v>
      </c>
      <c r="H270">
        <f t="shared" si="87"/>
        <v>-0.291015625</v>
      </c>
      <c r="I270">
        <f t="shared" si="88"/>
        <v>-0.044534435390625</v>
      </c>
      <c r="J270">
        <f t="shared" si="89"/>
        <v>1.00198767658091</v>
      </c>
      <c r="K270">
        <f t="shared" si="90"/>
        <v>-13.22138601</v>
      </c>
      <c r="L270">
        <f t="shared" si="91"/>
        <v>42.70126204</v>
      </c>
      <c r="M270">
        <f t="shared" si="92"/>
        <v>5.64285586903129</v>
      </c>
      <c r="N270">
        <f t="shared" si="93"/>
        <v>-0.967837137968711</v>
      </c>
      <c r="O270">
        <f t="shared" si="94"/>
        <v>-0.251577571274816</v>
      </c>
      <c r="P270">
        <f t="shared" si="95"/>
        <v>-0.254309907327898</v>
      </c>
      <c r="Q270">
        <f t="shared" si="96"/>
        <v>-0.0898160928515625</v>
      </c>
      <c r="R270">
        <f t="shared" si="97"/>
        <v>1.00806693053512</v>
      </c>
      <c r="S270">
        <f t="shared" si="98"/>
        <v>-13.22138601</v>
      </c>
      <c r="T270">
        <f t="shared" si="99"/>
        <v>42.7645533143685</v>
      </c>
      <c r="U270">
        <f t="shared" si="100"/>
        <v>5.79470760950877</v>
      </c>
      <c r="V270">
        <f t="shared" si="101"/>
        <v>-0.81598539749123</v>
      </c>
      <c r="W270">
        <f t="shared" si="102"/>
        <v>-0.537753724745046</v>
      </c>
      <c r="X270">
        <f t="shared" si="103"/>
        <v>-0.567770540144758</v>
      </c>
    </row>
    <row r="271" spans="3:24">
      <c r="C271" s="2">
        <v>1669</v>
      </c>
      <c r="D271" s="2">
        <v>1307</v>
      </c>
      <c r="E271" s="4">
        <f t="shared" si="85"/>
        <v>-13.8143818258309</v>
      </c>
      <c r="F271" s="4">
        <f t="shared" si="104"/>
        <v>175.275143352132</v>
      </c>
      <c r="G271">
        <f t="shared" si="86"/>
        <v>-0.6298828125</v>
      </c>
      <c r="H271">
        <f t="shared" si="87"/>
        <v>-0.2763671875</v>
      </c>
      <c r="I271">
        <f t="shared" si="88"/>
        <v>-0.0422927691796875</v>
      </c>
      <c r="J271">
        <f t="shared" si="89"/>
        <v>1.00179261102753</v>
      </c>
      <c r="K271">
        <f t="shared" si="90"/>
        <v>-13.22138601</v>
      </c>
      <c r="L271">
        <f t="shared" si="91"/>
        <v>42.70126204</v>
      </c>
      <c r="M271">
        <f t="shared" si="92"/>
        <v>5.63961863201748</v>
      </c>
      <c r="N271">
        <f t="shared" si="93"/>
        <v>-0.971074374982519</v>
      </c>
      <c r="O271">
        <f t="shared" si="94"/>
        <v>-0.238777214684129</v>
      </c>
      <c r="P271">
        <f t="shared" si="95"/>
        <v>-0.241106446988414</v>
      </c>
      <c r="Q271">
        <f t="shared" si="96"/>
        <v>-0.0963916470703125</v>
      </c>
      <c r="R271">
        <f t="shared" si="97"/>
        <v>1.00929134962493</v>
      </c>
      <c r="S271">
        <f t="shared" si="98"/>
        <v>-13.22138601</v>
      </c>
      <c r="T271">
        <f t="shared" si="99"/>
        <v>42.7582765982523</v>
      </c>
      <c r="U271">
        <f t="shared" si="100"/>
        <v>5.81791934065588</v>
      </c>
      <c r="V271">
        <f t="shared" si="101"/>
        <v>-0.792773666344117</v>
      </c>
      <c r="W271">
        <f t="shared" si="102"/>
        <v>-0.577503504762345</v>
      </c>
      <c r="X271">
        <f t="shared" si="103"/>
        <v>-0.6156673956077</v>
      </c>
    </row>
    <row r="272" spans="3:24">
      <c r="C272" s="2">
        <v>1698</v>
      </c>
      <c r="D272" s="2">
        <v>1292</v>
      </c>
      <c r="E272" s="4">
        <f t="shared" si="85"/>
        <v>-13.0616161655503</v>
      </c>
      <c r="F272" s="4">
        <f t="shared" si="104"/>
        <v>177.1004406356</v>
      </c>
      <c r="G272">
        <f t="shared" si="86"/>
        <v>-0.658203125</v>
      </c>
      <c r="H272">
        <f t="shared" si="87"/>
        <v>-0.26171875</v>
      </c>
      <c r="I272">
        <f t="shared" si="88"/>
        <v>-0.04005110296875</v>
      </c>
      <c r="J272">
        <f t="shared" si="89"/>
        <v>1.00160761770582</v>
      </c>
      <c r="K272">
        <f t="shared" si="90"/>
        <v>-13.22138601</v>
      </c>
      <c r="L272">
        <f t="shared" si="91"/>
        <v>42.70126204</v>
      </c>
      <c r="M272">
        <f t="shared" si="92"/>
        <v>5.63656541907543</v>
      </c>
      <c r="N272">
        <f t="shared" si="93"/>
        <v>-0.974127587924567</v>
      </c>
      <c r="O272">
        <f t="shared" si="94"/>
        <v>-0.225998766466246</v>
      </c>
      <c r="P272">
        <f t="shared" si="95"/>
        <v>-0.227968207720569</v>
      </c>
      <c r="Q272">
        <f t="shared" si="96"/>
        <v>-0.100725535078125</v>
      </c>
      <c r="R272">
        <f t="shared" si="97"/>
        <v>1.01014563341677</v>
      </c>
      <c r="S272">
        <f t="shared" si="98"/>
        <v>-13.22138601</v>
      </c>
      <c r="T272">
        <f t="shared" si="99"/>
        <v>42.7523374824443</v>
      </c>
      <c r="U272">
        <f t="shared" si="100"/>
        <v>5.83374901724341</v>
      </c>
      <c r="V272">
        <f t="shared" si="101"/>
        <v>-0.776943989756594</v>
      </c>
      <c r="W272">
        <f t="shared" si="102"/>
        <v>-0.603214121580161</v>
      </c>
      <c r="X272">
        <f t="shared" si="103"/>
        <v>-0.647524843031914</v>
      </c>
    </row>
    <row r="273" spans="3:24">
      <c r="C273" s="2">
        <v>1732</v>
      </c>
      <c r="D273" s="2">
        <v>1317</v>
      </c>
      <c r="E273" s="4">
        <f t="shared" si="85"/>
        <v>-14.3182862618463</v>
      </c>
      <c r="F273" s="4">
        <f t="shared" si="104"/>
        <v>179.839263928178</v>
      </c>
      <c r="G273">
        <f t="shared" si="86"/>
        <v>-0.69140625</v>
      </c>
      <c r="H273">
        <f t="shared" si="87"/>
        <v>-0.2861328125</v>
      </c>
      <c r="I273">
        <f t="shared" si="88"/>
        <v>-0.0437872133203125</v>
      </c>
      <c r="J273">
        <f t="shared" si="89"/>
        <v>1.00192153559293</v>
      </c>
      <c r="K273">
        <f t="shared" si="90"/>
        <v>-13.22138601</v>
      </c>
      <c r="L273">
        <f t="shared" si="91"/>
        <v>42.70126204</v>
      </c>
      <c r="M273">
        <f t="shared" si="92"/>
        <v>5.64175615603162</v>
      </c>
      <c r="N273">
        <f t="shared" si="93"/>
        <v>-0.968936850968382</v>
      </c>
      <c r="O273">
        <f t="shared" si="94"/>
        <v>-0.247308266815881</v>
      </c>
      <c r="P273">
        <f t="shared" si="95"/>
        <v>-0.24990123851229</v>
      </c>
      <c r="Q273">
        <f t="shared" si="96"/>
        <v>-0.10580664515625</v>
      </c>
      <c r="R273">
        <f t="shared" si="97"/>
        <v>1.01119504615922</v>
      </c>
      <c r="S273">
        <f t="shared" si="98"/>
        <v>-13.22138601</v>
      </c>
      <c r="T273">
        <f t="shared" si="99"/>
        <v>42.7624234188355</v>
      </c>
      <c r="U273">
        <f t="shared" si="100"/>
        <v>5.86669999514081</v>
      </c>
      <c r="V273">
        <f t="shared" si="101"/>
        <v>-0.743993011859189</v>
      </c>
      <c r="W273">
        <f t="shared" si="102"/>
        <v>-0.640636042180331</v>
      </c>
      <c r="X273">
        <f t="shared" si="103"/>
        <v>-0.695326327117718</v>
      </c>
    </row>
    <row r="274" spans="3:24">
      <c r="C274" s="2">
        <v>1775</v>
      </c>
      <c r="D274" s="2">
        <v>1304</v>
      </c>
      <c r="E274" s="4">
        <f t="shared" si="85"/>
        <v>-13.6635376569586</v>
      </c>
      <c r="F274" s="4">
        <f t="shared" si="104"/>
        <v>-177.046815992671</v>
      </c>
      <c r="G274">
        <f t="shared" si="86"/>
        <v>-0.7333984375</v>
      </c>
      <c r="H274">
        <f t="shared" si="87"/>
        <v>-0.2734375</v>
      </c>
      <c r="I274">
        <f t="shared" si="88"/>
        <v>-0.0418444359375</v>
      </c>
      <c r="J274">
        <f t="shared" si="89"/>
        <v>1.00175480658465</v>
      </c>
      <c r="K274">
        <f t="shared" si="90"/>
        <v>-13.22138601</v>
      </c>
      <c r="L274">
        <f t="shared" si="91"/>
        <v>42.70126204</v>
      </c>
      <c r="M274">
        <f t="shared" si="92"/>
        <v>5.6389933628065</v>
      </c>
      <c r="N274">
        <f t="shared" si="93"/>
        <v>-0.971699644193497</v>
      </c>
      <c r="O274">
        <f t="shared" si="94"/>
        <v>-0.236219816006684</v>
      </c>
      <c r="P274">
        <f t="shared" si="95"/>
        <v>-0.238473719584159</v>
      </c>
      <c r="Q274">
        <f t="shared" si="96"/>
        <v>-0.112232754960938</v>
      </c>
      <c r="R274">
        <f t="shared" si="97"/>
        <v>1.01259619128612</v>
      </c>
      <c r="S274">
        <f t="shared" si="98"/>
        <v>-13.22138601</v>
      </c>
      <c r="T274">
        <f t="shared" si="99"/>
        <v>42.7570618414742</v>
      </c>
      <c r="U274">
        <f t="shared" si="100"/>
        <v>5.89949562696621</v>
      </c>
      <c r="V274">
        <f t="shared" si="101"/>
        <v>-0.711197380033789</v>
      </c>
      <c r="W274">
        <f t="shared" si="102"/>
        <v>-0.681400548316732</v>
      </c>
      <c r="X274">
        <f t="shared" si="103"/>
        <v>-0.749674485142872</v>
      </c>
    </row>
    <row r="275" spans="5:24">
      <c r="E275" s="4" t="e">
        <f t="shared" si="85"/>
        <v>#NUM!</v>
      </c>
      <c r="F275" s="4" t="e">
        <f t="shared" si="104"/>
        <v>#NUM!</v>
      </c>
      <c r="G275">
        <f t="shared" si="86"/>
        <v>1</v>
      </c>
      <c r="H275">
        <f t="shared" si="87"/>
        <v>1</v>
      </c>
      <c r="I275">
        <f t="shared" si="88"/>
        <v>0.15303108</v>
      </c>
      <c r="J275">
        <f t="shared" si="89"/>
        <v>1.02347000088402</v>
      </c>
      <c r="K275">
        <f t="shared" si="90"/>
        <v>-13.22138601</v>
      </c>
      <c r="L275">
        <f t="shared" si="91"/>
        <v>42.70126204</v>
      </c>
      <c r="M275" t="e">
        <f t="shared" si="92"/>
        <v>#NUM!</v>
      </c>
      <c r="N275" t="e">
        <f t="shared" si="93"/>
        <v>#NUM!</v>
      </c>
      <c r="O275" t="e">
        <f t="shared" si="94"/>
        <v>#NUM!</v>
      </c>
      <c r="P275" t="e">
        <f t="shared" si="95"/>
        <v>#NUM!</v>
      </c>
      <c r="Q275">
        <f t="shared" si="96"/>
        <v>0.15303108</v>
      </c>
      <c r="R275">
        <f t="shared" si="97"/>
        <v>1.02341851144597</v>
      </c>
      <c r="S275">
        <f t="shared" si="98"/>
        <v>-13.22138601</v>
      </c>
      <c r="T275" t="e">
        <f t="shared" si="99"/>
        <v>#NUM!</v>
      </c>
      <c r="U275" t="e">
        <f t="shared" si="100"/>
        <v>#NUM!</v>
      </c>
      <c r="V275" t="e">
        <f t="shared" si="101"/>
        <v>#NUM!</v>
      </c>
      <c r="W275" t="e">
        <f t="shared" si="102"/>
        <v>#NUM!</v>
      </c>
      <c r="X275" t="e">
        <f t="shared" si="103"/>
        <v>#NUM!</v>
      </c>
    </row>
    <row r="276" spans="3:24">
      <c r="C276" s="2">
        <v>1573</v>
      </c>
      <c r="D276" s="2">
        <v>1305</v>
      </c>
      <c r="E276" s="4">
        <f t="shared" si="85"/>
        <v>-13.7138025635677</v>
      </c>
      <c r="F276" s="4">
        <f t="shared" si="104"/>
        <v>169.11827418152</v>
      </c>
      <c r="G276">
        <f t="shared" si="86"/>
        <v>-0.5361328125</v>
      </c>
      <c r="H276">
        <f t="shared" si="87"/>
        <v>-0.2744140625</v>
      </c>
      <c r="I276">
        <f t="shared" si="88"/>
        <v>-0.0419938803515625</v>
      </c>
      <c r="J276">
        <f t="shared" si="89"/>
        <v>1.00176736330014</v>
      </c>
      <c r="K276">
        <f t="shared" si="90"/>
        <v>-13.22138601</v>
      </c>
      <c r="L276">
        <f t="shared" si="91"/>
        <v>42.70126204</v>
      </c>
      <c r="M276">
        <f t="shared" si="92"/>
        <v>5.6392009695446</v>
      </c>
      <c r="N276">
        <f t="shared" si="93"/>
        <v>-0.9714920374554</v>
      </c>
      <c r="O276">
        <f t="shared" si="94"/>
        <v>-0.237072185548527</v>
      </c>
      <c r="P276">
        <f t="shared" si="95"/>
        <v>-0.239351007702696</v>
      </c>
      <c r="Q276">
        <f t="shared" si="96"/>
        <v>-0.0820449833203125</v>
      </c>
      <c r="R276">
        <f t="shared" si="97"/>
        <v>1.00673137928803</v>
      </c>
      <c r="S276">
        <f t="shared" si="98"/>
        <v>-13.22138601</v>
      </c>
      <c r="T276">
        <f t="shared" si="99"/>
        <v>42.7574652611608</v>
      </c>
      <c r="U276">
        <f t="shared" si="100"/>
        <v>5.76198098501923</v>
      </c>
      <c r="V276">
        <f t="shared" si="101"/>
        <v>-0.848712021980772</v>
      </c>
      <c r="W276">
        <f t="shared" si="102"/>
        <v>-0.486614040645668</v>
      </c>
      <c r="X276">
        <f t="shared" si="103"/>
        <v>-0.508209756965981</v>
      </c>
    </row>
    <row r="277" spans="3:24">
      <c r="C277" s="2">
        <v>1604</v>
      </c>
      <c r="D277" s="2">
        <v>1311</v>
      </c>
      <c r="E277" s="4">
        <f t="shared" si="85"/>
        <v>-14.0157402006321</v>
      </c>
      <c r="F277" s="4">
        <f t="shared" si="104"/>
        <v>171.087965415567</v>
      </c>
      <c r="G277">
        <f t="shared" si="86"/>
        <v>-0.56640625</v>
      </c>
      <c r="H277">
        <f t="shared" si="87"/>
        <v>-0.2802734375</v>
      </c>
      <c r="I277">
        <f t="shared" si="88"/>
        <v>-0.0428905468359375</v>
      </c>
      <c r="J277">
        <f t="shared" si="89"/>
        <v>1.001843643668</v>
      </c>
      <c r="K277">
        <f t="shared" si="90"/>
        <v>-13.22138601</v>
      </c>
      <c r="L277">
        <f t="shared" si="91"/>
        <v>42.70126204</v>
      </c>
      <c r="M277">
        <f t="shared" si="92"/>
        <v>5.64046377771552</v>
      </c>
      <c r="N277">
        <f t="shared" si="93"/>
        <v>-0.970229229284476</v>
      </c>
      <c r="O277">
        <f t="shared" si="94"/>
        <v>-0.242188444484976</v>
      </c>
      <c r="P277">
        <f t="shared" si="95"/>
        <v>-0.24462081360516</v>
      </c>
      <c r="Q277">
        <f t="shared" si="96"/>
        <v>-0.08667776015625</v>
      </c>
      <c r="R277">
        <f t="shared" si="97"/>
        <v>1.0075130341057</v>
      </c>
      <c r="S277">
        <f t="shared" si="98"/>
        <v>-13.22138601</v>
      </c>
      <c r="T277">
        <f t="shared" si="99"/>
        <v>42.7599172826421</v>
      </c>
      <c r="U277">
        <f t="shared" si="100"/>
        <v>5.77981240745834</v>
      </c>
      <c r="V277">
        <f t="shared" si="101"/>
        <v>-0.830880599541665</v>
      </c>
      <c r="W277">
        <f t="shared" si="102"/>
        <v>-0.516353464461615</v>
      </c>
      <c r="X277">
        <f t="shared" si="103"/>
        <v>-0.542587354247774</v>
      </c>
    </row>
    <row r="278" spans="3:24">
      <c r="C278" s="2">
        <v>1612</v>
      </c>
      <c r="D278" s="2">
        <v>1305</v>
      </c>
      <c r="E278" s="4">
        <f t="shared" si="85"/>
        <v>-13.7138025635677</v>
      </c>
      <c r="F278" s="4">
        <f t="shared" si="104"/>
        <v>171.537437358453</v>
      </c>
      <c r="G278">
        <f t="shared" si="86"/>
        <v>-0.57421875</v>
      </c>
      <c r="H278">
        <f t="shared" si="87"/>
        <v>-0.2744140625</v>
      </c>
      <c r="I278">
        <f t="shared" si="88"/>
        <v>-0.0419938803515625</v>
      </c>
      <c r="J278">
        <f t="shared" si="89"/>
        <v>1.00176736330014</v>
      </c>
      <c r="K278">
        <f t="shared" si="90"/>
        <v>-13.22138601</v>
      </c>
      <c r="L278">
        <f t="shared" si="91"/>
        <v>42.70126204</v>
      </c>
      <c r="M278">
        <f t="shared" si="92"/>
        <v>5.6392009695446</v>
      </c>
      <c r="N278">
        <f t="shared" si="93"/>
        <v>-0.9714920374554</v>
      </c>
      <c r="O278">
        <f t="shared" si="94"/>
        <v>-0.237072185548527</v>
      </c>
      <c r="P278">
        <f t="shared" si="95"/>
        <v>-0.239351007702696</v>
      </c>
      <c r="Q278">
        <f t="shared" si="96"/>
        <v>-0.08787331546875</v>
      </c>
      <c r="R278">
        <f t="shared" si="97"/>
        <v>1.00772171957147</v>
      </c>
      <c r="S278">
        <f t="shared" si="98"/>
        <v>-13.22138601</v>
      </c>
      <c r="T278">
        <f t="shared" si="99"/>
        <v>42.7574652611608</v>
      </c>
      <c r="U278">
        <f t="shared" si="100"/>
        <v>5.78269172386647</v>
      </c>
      <c r="V278">
        <f t="shared" si="101"/>
        <v>-0.828001283133531</v>
      </c>
      <c r="W278">
        <f t="shared" si="102"/>
        <v>-0.523055572629026</v>
      </c>
      <c r="X278">
        <f t="shared" si="103"/>
        <v>-0.550432119546461</v>
      </c>
    </row>
    <row r="279" spans="3:24">
      <c r="C279" s="2">
        <v>1628</v>
      </c>
      <c r="D279" s="2">
        <v>1295</v>
      </c>
      <c r="E279" s="4">
        <f t="shared" si="85"/>
        <v>-13.2118821543888</v>
      </c>
      <c r="F279" s="4">
        <f t="shared" si="104"/>
        <v>172.464401795598</v>
      </c>
      <c r="G279">
        <f t="shared" si="86"/>
        <v>-0.58984375</v>
      </c>
      <c r="H279">
        <f t="shared" si="87"/>
        <v>-0.2646484375</v>
      </c>
      <c r="I279">
        <f t="shared" si="88"/>
        <v>-0.0404994362109375</v>
      </c>
      <c r="J279">
        <f t="shared" si="89"/>
        <v>1.00164381059162</v>
      </c>
      <c r="K279">
        <f t="shared" si="90"/>
        <v>-13.22138601</v>
      </c>
      <c r="L279">
        <f t="shared" si="91"/>
        <v>42.70126204</v>
      </c>
      <c r="M279">
        <f t="shared" si="92"/>
        <v>5.63716148108586</v>
      </c>
      <c r="N279">
        <f t="shared" si="93"/>
        <v>-0.973531525914142</v>
      </c>
      <c r="O279">
        <f t="shared" si="94"/>
        <v>-0.228552768636222</v>
      </c>
      <c r="P279">
        <f t="shared" si="95"/>
        <v>-0.230590843979566</v>
      </c>
      <c r="Q279">
        <f t="shared" si="96"/>
        <v>-0.09026442609375</v>
      </c>
      <c r="R279">
        <f t="shared" si="97"/>
        <v>1.00814766661803</v>
      </c>
      <c r="S279">
        <f t="shared" si="98"/>
        <v>-13.22138601</v>
      </c>
      <c r="T279">
        <f t="shared" si="99"/>
        <v>42.7534984080513</v>
      </c>
      <c r="U279">
        <f t="shared" si="100"/>
        <v>5.7893000128094</v>
      </c>
      <c r="V279">
        <f t="shared" si="101"/>
        <v>-0.821392994190603</v>
      </c>
      <c r="W279">
        <f t="shared" si="102"/>
        <v>-0.536775500616193</v>
      </c>
      <c r="X279">
        <f t="shared" si="103"/>
        <v>-0.566610701023542</v>
      </c>
    </row>
    <row r="280" spans="3:24">
      <c r="C280" s="2">
        <v>1642</v>
      </c>
      <c r="D280" s="2">
        <v>1292</v>
      </c>
      <c r="E280" s="4">
        <f t="shared" si="85"/>
        <v>-13.0616161655503</v>
      </c>
      <c r="F280" s="4">
        <f t="shared" si="104"/>
        <v>173.339566223495</v>
      </c>
      <c r="G280">
        <f t="shared" si="86"/>
        <v>-0.603515625</v>
      </c>
      <c r="H280">
        <f t="shared" si="87"/>
        <v>-0.26171875</v>
      </c>
      <c r="I280">
        <f t="shared" si="88"/>
        <v>-0.04005110296875</v>
      </c>
      <c r="J280">
        <f t="shared" si="89"/>
        <v>1.00160761770582</v>
      </c>
      <c r="K280">
        <f t="shared" si="90"/>
        <v>-13.22138601</v>
      </c>
      <c r="L280">
        <f t="shared" si="91"/>
        <v>42.70126204</v>
      </c>
      <c r="M280">
        <f t="shared" si="92"/>
        <v>5.63656541907543</v>
      </c>
      <c r="N280">
        <f t="shared" si="93"/>
        <v>-0.974127587924567</v>
      </c>
      <c r="O280">
        <f t="shared" si="94"/>
        <v>-0.225998766466246</v>
      </c>
      <c r="P280">
        <f t="shared" si="95"/>
        <v>-0.227968207720569</v>
      </c>
      <c r="Q280">
        <f t="shared" si="96"/>
        <v>-0.092356647890625</v>
      </c>
      <c r="R280">
        <f t="shared" si="97"/>
        <v>1.00852975040959</v>
      </c>
      <c r="S280">
        <f t="shared" si="98"/>
        <v>-13.22138601</v>
      </c>
      <c r="T280">
        <f t="shared" si="99"/>
        <v>42.7523374824443</v>
      </c>
      <c r="U280">
        <f t="shared" si="100"/>
        <v>5.7968795167764</v>
      </c>
      <c r="V280">
        <f t="shared" si="101"/>
        <v>-0.813813490223597</v>
      </c>
      <c r="W280">
        <f t="shared" si="102"/>
        <v>-0.549599862905583</v>
      </c>
      <c r="X280">
        <f t="shared" si="103"/>
        <v>-0.581885201786675</v>
      </c>
    </row>
    <row r="281" spans="3:24">
      <c r="C281" s="2">
        <v>1669</v>
      </c>
      <c r="D281" s="2">
        <v>1300</v>
      </c>
      <c r="E281" s="4">
        <f t="shared" si="85"/>
        <v>-13.4626411602419</v>
      </c>
      <c r="F281" s="4">
        <f t="shared" si="104"/>
        <v>175.20161993217</v>
      </c>
      <c r="G281">
        <f t="shared" si="86"/>
        <v>-0.6298828125</v>
      </c>
      <c r="H281">
        <f t="shared" si="87"/>
        <v>-0.26953125</v>
      </c>
      <c r="I281">
        <f t="shared" si="88"/>
        <v>-0.04124665828125</v>
      </c>
      <c r="J281">
        <f t="shared" si="89"/>
        <v>1.00170502737745</v>
      </c>
      <c r="K281">
        <f t="shared" si="90"/>
        <v>-13.22138601</v>
      </c>
      <c r="L281">
        <f t="shared" si="91"/>
        <v>42.70126204</v>
      </c>
      <c r="M281">
        <f t="shared" si="92"/>
        <v>5.63817107882286</v>
      </c>
      <c r="N281">
        <f t="shared" si="93"/>
        <v>-0.972521928177136</v>
      </c>
      <c r="O281">
        <f t="shared" si="94"/>
        <v>-0.23281129529004</v>
      </c>
      <c r="P281">
        <f t="shared" si="95"/>
        <v>-0.234967414260731</v>
      </c>
      <c r="Q281">
        <f t="shared" si="96"/>
        <v>-0.0963916470703125</v>
      </c>
      <c r="R281">
        <f t="shared" si="97"/>
        <v>1.00929134962493</v>
      </c>
      <c r="S281">
        <f t="shared" si="98"/>
        <v>-13.22138601</v>
      </c>
      <c r="T281">
        <f t="shared" si="99"/>
        <v>42.7554631392146</v>
      </c>
      <c r="U281">
        <f t="shared" si="100"/>
        <v>5.81601752492054</v>
      </c>
      <c r="V281">
        <f t="shared" si="101"/>
        <v>-0.794675482079463</v>
      </c>
      <c r="W281">
        <f t="shared" si="102"/>
        <v>-0.576455419199698</v>
      </c>
      <c r="X281">
        <f t="shared" si="103"/>
        <v>-0.614384169852025</v>
      </c>
    </row>
    <row r="282" spans="3:24">
      <c r="C282" s="2">
        <v>1703</v>
      </c>
      <c r="D282" s="2">
        <v>1319</v>
      </c>
      <c r="E282" s="4">
        <f t="shared" si="85"/>
        <v>-14.4192729353615</v>
      </c>
      <c r="F282" s="4">
        <f t="shared" si="104"/>
        <v>177.763571416522</v>
      </c>
      <c r="G282">
        <f t="shared" si="86"/>
        <v>-0.6630859375</v>
      </c>
      <c r="H282">
        <f t="shared" si="87"/>
        <v>-0.2880859375</v>
      </c>
      <c r="I282">
        <f t="shared" si="88"/>
        <v>-0.0440861021484375</v>
      </c>
      <c r="J282">
        <f t="shared" si="89"/>
        <v>1.0019478576917</v>
      </c>
      <c r="K282">
        <f t="shared" si="90"/>
        <v>-13.22138601</v>
      </c>
      <c r="L282">
        <f t="shared" si="91"/>
        <v>42.70126204</v>
      </c>
      <c r="M282">
        <f t="shared" si="92"/>
        <v>5.64219355402076</v>
      </c>
      <c r="N282">
        <f t="shared" si="93"/>
        <v>-0.968499452979237</v>
      </c>
      <c r="O282">
        <f t="shared" si="94"/>
        <v>-0.249015681391592</v>
      </c>
      <c r="P282">
        <f t="shared" si="95"/>
        <v>-0.251663788465766</v>
      </c>
      <c r="Q282">
        <f t="shared" si="96"/>
        <v>-0.101472757148438</v>
      </c>
      <c r="R282">
        <f t="shared" si="97"/>
        <v>1.01029672044331</v>
      </c>
      <c r="S282">
        <f t="shared" si="98"/>
        <v>-13.22138601</v>
      </c>
      <c r="T282">
        <f t="shared" si="99"/>
        <v>42.7632708495789</v>
      </c>
      <c r="U282">
        <f t="shared" si="100"/>
        <v>5.84505105423084</v>
      </c>
      <c r="V282">
        <f t="shared" si="101"/>
        <v>-0.765641952769158</v>
      </c>
      <c r="W282">
        <f t="shared" si="102"/>
        <v>-0.612404550257797</v>
      </c>
      <c r="X282">
        <f t="shared" si="103"/>
        <v>-0.659098658530336</v>
      </c>
    </row>
    <row r="283" spans="3:24">
      <c r="C283" s="2">
        <v>1742</v>
      </c>
      <c r="D283" s="2">
        <v>1332</v>
      </c>
      <c r="E283" s="4">
        <f t="shared" si="85"/>
        <v>-15.077419732749</v>
      </c>
      <c r="F283" s="4">
        <f t="shared" si="104"/>
        <v>-179.201930939081</v>
      </c>
      <c r="G283">
        <f t="shared" si="86"/>
        <v>-0.701171875</v>
      </c>
      <c r="H283">
        <f t="shared" si="87"/>
        <v>-0.30078125</v>
      </c>
      <c r="I283">
        <f t="shared" si="88"/>
        <v>-0.04602887953125</v>
      </c>
      <c r="J283">
        <f t="shared" si="89"/>
        <v>1.00212331596743</v>
      </c>
      <c r="K283">
        <f t="shared" si="90"/>
        <v>-13.22138601</v>
      </c>
      <c r="L283">
        <f t="shared" si="91"/>
        <v>42.70126204</v>
      </c>
      <c r="M283">
        <f t="shared" si="92"/>
        <v>5.6451177862702</v>
      </c>
      <c r="N283">
        <f t="shared" si="93"/>
        <v>-0.965575220729799</v>
      </c>
      <c r="O283">
        <f t="shared" si="94"/>
        <v>-0.260123995649382</v>
      </c>
      <c r="P283">
        <f t="shared" si="95"/>
        <v>-0.263150617041634</v>
      </c>
      <c r="Q283">
        <f t="shared" si="96"/>
        <v>-0.107301089296875</v>
      </c>
      <c r="R283">
        <f t="shared" si="97"/>
        <v>1.0115135237643</v>
      </c>
      <c r="S283">
        <f t="shared" si="98"/>
        <v>-13.22138601</v>
      </c>
      <c r="T283">
        <f t="shared" si="99"/>
        <v>42.7689265331126</v>
      </c>
      <c r="U283">
        <f t="shared" si="100"/>
        <v>5.87973607644625</v>
      </c>
      <c r="V283">
        <f t="shared" si="101"/>
        <v>-0.73095693055375</v>
      </c>
      <c r="W283">
        <f t="shared" si="102"/>
        <v>-0.653395091943499</v>
      </c>
      <c r="X283">
        <f t="shared" si="103"/>
        <v>-0.712060633569072</v>
      </c>
    </row>
    <row r="284" spans="3:24">
      <c r="C284" s="2">
        <v>1777</v>
      </c>
      <c r="D284" s="2">
        <v>1351</v>
      </c>
      <c r="E284" s="4">
        <f t="shared" si="85"/>
        <v>-16.0449991973517</v>
      </c>
      <c r="F284" s="4">
        <f t="shared" si="104"/>
        <v>-176.137496159572</v>
      </c>
      <c r="G284">
        <f t="shared" si="86"/>
        <v>-0.7353515625</v>
      </c>
      <c r="H284">
        <f t="shared" si="87"/>
        <v>-0.3193359375</v>
      </c>
      <c r="I284">
        <f t="shared" si="88"/>
        <v>-0.0488683233984375</v>
      </c>
      <c r="J284">
        <f t="shared" si="89"/>
        <v>1.00239336368993</v>
      </c>
      <c r="K284">
        <f t="shared" si="90"/>
        <v>-13.22138601</v>
      </c>
      <c r="L284">
        <f t="shared" si="91"/>
        <v>42.70126204</v>
      </c>
      <c r="M284">
        <f t="shared" si="92"/>
        <v>5.64964808871776</v>
      </c>
      <c r="N284">
        <f t="shared" si="93"/>
        <v>-0.961044918282236</v>
      </c>
      <c r="O284">
        <f t="shared" si="94"/>
        <v>-0.276392230433292</v>
      </c>
      <c r="P284">
        <f t="shared" si="95"/>
        <v>-0.280038064473635</v>
      </c>
      <c r="Q284">
        <f t="shared" si="96"/>
        <v>-0.112531643789063</v>
      </c>
      <c r="R284">
        <f t="shared" si="97"/>
        <v>1.01266337085387</v>
      </c>
      <c r="S284">
        <f t="shared" si="98"/>
        <v>-13.22138601</v>
      </c>
      <c r="T284">
        <f t="shared" si="99"/>
        <v>42.7776547050439</v>
      </c>
      <c r="U284">
        <f t="shared" si="100"/>
        <v>5.91777506430962</v>
      </c>
      <c r="V284">
        <f t="shared" si="101"/>
        <v>-0.69291794269038</v>
      </c>
      <c r="W284">
        <f t="shared" si="102"/>
        <v>-0.692930128521622</v>
      </c>
      <c r="X284">
        <f t="shared" si="103"/>
        <v>-0.765545110184122</v>
      </c>
    </row>
    <row r="285" spans="5:24">
      <c r="E285" s="4" t="e">
        <f t="shared" si="85"/>
        <v>#NUM!</v>
      </c>
      <c r="F285" s="4" t="e">
        <f t="shared" si="104"/>
        <v>#NUM!</v>
      </c>
      <c r="G285">
        <f t="shared" si="86"/>
        <v>1</v>
      </c>
      <c r="H285">
        <f t="shared" si="87"/>
        <v>1</v>
      </c>
      <c r="I285">
        <f t="shared" si="88"/>
        <v>0.15303108</v>
      </c>
      <c r="J285">
        <f t="shared" si="89"/>
        <v>1.02347000088402</v>
      </c>
      <c r="K285">
        <f t="shared" si="90"/>
        <v>-13.22138601</v>
      </c>
      <c r="L285">
        <f t="shared" si="91"/>
        <v>42.70126204</v>
      </c>
      <c r="M285" t="e">
        <f t="shared" si="92"/>
        <v>#NUM!</v>
      </c>
      <c r="N285" t="e">
        <f t="shared" si="93"/>
        <v>#NUM!</v>
      </c>
      <c r="O285" t="e">
        <f t="shared" si="94"/>
        <v>#NUM!</v>
      </c>
      <c r="P285" t="e">
        <f t="shared" si="95"/>
        <v>#NUM!</v>
      </c>
      <c r="Q285">
        <f t="shared" si="96"/>
        <v>0.15303108</v>
      </c>
      <c r="R285">
        <f t="shared" si="97"/>
        <v>1.02341851144597</v>
      </c>
      <c r="S285">
        <f t="shared" si="98"/>
        <v>-13.22138601</v>
      </c>
      <c r="T285" t="e">
        <f t="shared" si="99"/>
        <v>#NUM!</v>
      </c>
      <c r="U285" t="e">
        <f t="shared" si="100"/>
        <v>#NUM!</v>
      </c>
      <c r="V285" t="e">
        <f t="shared" si="101"/>
        <v>#NUM!</v>
      </c>
      <c r="W285" t="e">
        <f t="shared" si="102"/>
        <v>#NUM!</v>
      </c>
      <c r="X285" t="e">
        <f t="shared" si="103"/>
        <v>#NUM!</v>
      </c>
    </row>
    <row r="286" spans="3:24">
      <c r="C286" s="2">
        <v>1875</v>
      </c>
      <c r="D286" s="2">
        <v>1153</v>
      </c>
      <c r="E286" s="4">
        <f t="shared" si="85"/>
        <v>-6.22294603307082</v>
      </c>
      <c r="F286" s="4">
        <f t="shared" si="104"/>
        <v>-170.21784885903</v>
      </c>
      <c r="G286">
        <f t="shared" si="86"/>
        <v>-0.8310546875</v>
      </c>
      <c r="H286">
        <f t="shared" si="87"/>
        <v>-0.1259765625</v>
      </c>
      <c r="I286">
        <f t="shared" si="88"/>
        <v>-0.0192783294140625</v>
      </c>
      <c r="J286">
        <f t="shared" si="89"/>
        <v>1.00037247112723</v>
      </c>
      <c r="K286">
        <f t="shared" si="90"/>
        <v>-13.22138601</v>
      </c>
      <c r="L286">
        <f t="shared" si="91"/>
        <v>42.70126204</v>
      </c>
      <c r="M286">
        <f t="shared" si="92"/>
        <v>5.61658537474645</v>
      </c>
      <c r="N286">
        <f t="shared" si="93"/>
        <v>-0.994107632253555</v>
      </c>
      <c r="O286">
        <f t="shared" si="94"/>
        <v>-0.10839748841754</v>
      </c>
      <c r="P286">
        <f t="shared" si="95"/>
        <v>-0.108610897451006</v>
      </c>
      <c r="Q286">
        <f t="shared" si="96"/>
        <v>-0.127177196367188</v>
      </c>
      <c r="R286">
        <f t="shared" si="97"/>
        <v>1.01617403927582</v>
      </c>
      <c r="S286">
        <f t="shared" si="98"/>
        <v>-13.22138601</v>
      </c>
      <c r="T286">
        <f t="shared" si="99"/>
        <v>42.7130120554952</v>
      </c>
      <c r="U286">
        <f t="shared" si="100"/>
        <v>5.96880208772242</v>
      </c>
      <c r="V286">
        <f t="shared" si="101"/>
        <v>-0.641890919277577</v>
      </c>
      <c r="W286">
        <f t="shared" si="102"/>
        <v>-0.763594917721114</v>
      </c>
      <c r="X286">
        <f t="shared" si="103"/>
        <v>-0.868862446135386</v>
      </c>
    </row>
    <row r="287" spans="3:24">
      <c r="C287" s="2">
        <v>1870</v>
      </c>
      <c r="D287" s="2">
        <v>1156</v>
      </c>
      <c r="E287" s="4">
        <f t="shared" si="85"/>
        <v>-6.36857467926717</v>
      </c>
      <c r="F287" s="4">
        <f t="shared" si="104"/>
        <v>-170.658733738118</v>
      </c>
      <c r="G287">
        <f t="shared" si="86"/>
        <v>-0.826171875</v>
      </c>
      <c r="H287">
        <f t="shared" si="87"/>
        <v>-0.12890625</v>
      </c>
      <c r="I287">
        <f t="shared" si="88"/>
        <v>-0.01972666265625</v>
      </c>
      <c r="J287">
        <f t="shared" si="89"/>
        <v>1.00038999681034</v>
      </c>
      <c r="K287">
        <f t="shared" si="90"/>
        <v>-13.22138601</v>
      </c>
      <c r="L287">
        <f t="shared" si="91"/>
        <v>42.70126204</v>
      </c>
      <c r="M287">
        <f t="shared" si="92"/>
        <v>5.61686409935993</v>
      </c>
      <c r="N287">
        <f t="shared" si="93"/>
        <v>-0.993828907640069</v>
      </c>
      <c r="O287">
        <f t="shared" si="94"/>
        <v>-0.110923858294543</v>
      </c>
      <c r="P287">
        <f t="shared" si="95"/>
        <v>-0.111152596812354</v>
      </c>
      <c r="Q287">
        <f t="shared" si="96"/>
        <v>-0.126429974296875</v>
      </c>
      <c r="R287">
        <f t="shared" si="97"/>
        <v>1.01598453840071</v>
      </c>
      <c r="S287">
        <f t="shared" si="98"/>
        <v>-13.22138601</v>
      </c>
      <c r="T287">
        <f t="shared" si="99"/>
        <v>42.7135661423389</v>
      </c>
      <c r="U287">
        <f t="shared" si="100"/>
        <v>5.96316159378659</v>
      </c>
      <c r="V287">
        <f t="shared" si="101"/>
        <v>-0.647531413213413</v>
      </c>
      <c r="W287">
        <f t="shared" si="102"/>
        <v>-0.758603801750671</v>
      </c>
      <c r="X287">
        <f t="shared" si="103"/>
        <v>-0.861167553373034</v>
      </c>
    </row>
    <row r="288" spans="3:24">
      <c r="C288" s="2">
        <v>1867</v>
      </c>
      <c r="D288" s="2">
        <v>1159</v>
      </c>
      <c r="E288" s="4">
        <f t="shared" si="85"/>
        <v>-6.51426671065554</v>
      </c>
      <c r="F288" s="4">
        <f t="shared" si="104"/>
        <v>-170.91032574713</v>
      </c>
      <c r="G288">
        <f t="shared" si="86"/>
        <v>-0.8232421875</v>
      </c>
      <c r="H288">
        <f t="shared" si="87"/>
        <v>-0.1318359375</v>
      </c>
      <c r="I288">
        <f t="shared" si="88"/>
        <v>-0.0201749958984375</v>
      </c>
      <c r="J288">
        <f t="shared" si="89"/>
        <v>1.00040792538272</v>
      </c>
      <c r="K288">
        <f t="shared" si="90"/>
        <v>-13.22138601</v>
      </c>
      <c r="L288">
        <f t="shared" si="91"/>
        <v>42.70126204</v>
      </c>
      <c r="M288">
        <f t="shared" si="92"/>
        <v>5.61714936984646</v>
      </c>
      <c r="N288">
        <f t="shared" si="93"/>
        <v>-0.993543637153539</v>
      </c>
      <c r="O288">
        <f t="shared" si="94"/>
        <v>-0.11345061071549</v>
      </c>
      <c r="P288">
        <f t="shared" si="95"/>
        <v>-0.113695402454</v>
      </c>
      <c r="Q288">
        <f t="shared" si="96"/>
        <v>-0.125981641054688</v>
      </c>
      <c r="R288">
        <f t="shared" si="97"/>
        <v>1.01587137388283</v>
      </c>
      <c r="S288">
        <f t="shared" si="98"/>
        <v>-13.22138601</v>
      </c>
      <c r="T288">
        <f t="shared" si="99"/>
        <v>42.7141330810717</v>
      </c>
      <c r="U288">
        <f t="shared" si="100"/>
        <v>5.9600441089718</v>
      </c>
      <c r="V288">
        <f t="shared" si="101"/>
        <v>-0.650648898028196</v>
      </c>
      <c r="W288">
        <f t="shared" si="102"/>
        <v>-0.755735460627066</v>
      </c>
      <c r="X288">
        <f t="shared" si="103"/>
        <v>-0.856776444444061</v>
      </c>
    </row>
    <row r="289" spans="3:24">
      <c r="C289" s="2">
        <v>1860</v>
      </c>
      <c r="D289" s="2">
        <v>1162</v>
      </c>
      <c r="E289" s="4">
        <f t="shared" si="85"/>
        <v>-6.66002364363973</v>
      </c>
      <c r="F289" s="4">
        <f t="shared" si="104"/>
        <v>-171.522022687306</v>
      </c>
      <c r="G289">
        <f t="shared" si="86"/>
        <v>-0.81640625</v>
      </c>
      <c r="H289">
        <f t="shared" si="87"/>
        <v>-0.134765625</v>
      </c>
      <c r="I289">
        <f t="shared" si="88"/>
        <v>-0.020623329140625</v>
      </c>
      <c r="J289">
        <f t="shared" si="89"/>
        <v>1.00042625684436</v>
      </c>
      <c r="K289">
        <f t="shared" si="90"/>
        <v>-13.22138601</v>
      </c>
      <c r="L289">
        <f t="shared" si="91"/>
        <v>42.70126204</v>
      </c>
      <c r="M289">
        <f t="shared" si="92"/>
        <v>5.61744119581688</v>
      </c>
      <c r="N289">
        <f t="shared" si="93"/>
        <v>-0.993251811183118</v>
      </c>
      <c r="O289">
        <f t="shared" si="94"/>
        <v>-0.115977754683628</v>
      </c>
      <c r="P289">
        <f t="shared" si="95"/>
        <v>-0.116239340842183</v>
      </c>
      <c r="Q289">
        <f t="shared" si="96"/>
        <v>-0.12493553015625</v>
      </c>
      <c r="R289">
        <f t="shared" si="97"/>
        <v>1.01560888669542</v>
      </c>
      <c r="S289">
        <f t="shared" si="98"/>
        <v>-13.22138601</v>
      </c>
      <c r="T289">
        <f t="shared" si="99"/>
        <v>42.7147128795815</v>
      </c>
      <c r="U289">
        <f t="shared" si="100"/>
        <v>5.95225856032713</v>
      </c>
      <c r="V289">
        <f t="shared" si="101"/>
        <v>-0.658434446672866</v>
      </c>
      <c r="W289">
        <f t="shared" si="102"/>
        <v>-0.748700975260118</v>
      </c>
      <c r="X289">
        <f t="shared" si="103"/>
        <v>-0.84610031881362</v>
      </c>
    </row>
    <row r="290" spans="3:24">
      <c r="C290" s="2">
        <v>1855</v>
      </c>
      <c r="D290" s="2">
        <v>1172</v>
      </c>
      <c r="E290" s="4">
        <f t="shared" si="85"/>
        <v>-7.14636840082838</v>
      </c>
      <c r="F290" s="4">
        <f t="shared" si="104"/>
        <v>-171.885077371871</v>
      </c>
      <c r="G290">
        <f t="shared" si="86"/>
        <v>-0.8115234375</v>
      </c>
      <c r="H290">
        <f t="shared" si="87"/>
        <v>-0.14453125</v>
      </c>
      <c r="I290">
        <f t="shared" si="88"/>
        <v>-0.02211777328125</v>
      </c>
      <c r="J290">
        <f t="shared" si="89"/>
        <v>1.00049027147232</v>
      </c>
      <c r="K290">
        <f t="shared" si="90"/>
        <v>-13.22138601</v>
      </c>
      <c r="L290">
        <f t="shared" si="91"/>
        <v>42.70126204</v>
      </c>
      <c r="M290">
        <f t="shared" si="92"/>
        <v>5.61846142241986</v>
      </c>
      <c r="N290">
        <f t="shared" si="93"/>
        <v>-0.992231584580142</v>
      </c>
      <c r="O290">
        <f t="shared" si="94"/>
        <v>-0.12440451182164</v>
      </c>
      <c r="P290">
        <f t="shared" si="95"/>
        <v>-0.124727658154937</v>
      </c>
      <c r="Q290">
        <f t="shared" si="96"/>
        <v>-0.124188308085938</v>
      </c>
      <c r="R290">
        <f t="shared" si="97"/>
        <v>1.01542273586525</v>
      </c>
      <c r="S290">
        <f t="shared" si="98"/>
        <v>-13.22138601</v>
      </c>
      <c r="T290">
        <f t="shared" si="99"/>
        <v>42.7167385225616</v>
      </c>
      <c r="U290">
        <f t="shared" si="100"/>
        <v>5.94824082396908</v>
      </c>
      <c r="V290">
        <f t="shared" si="101"/>
        <v>-0.66245218303092</v>
      </c>
      <c r="W290">
        <f t="shared" si="102"/>
        <v>-0.744485457301656</v>
      </c>
      <c r="X290">
        <f t="shared" si="103"/>
        <v>-0.839763819203169</v>
      </c>
    </row>
    <row r="291" spans="3:24">
      <c r="C291" s="2">
        <v>1830</v>
      </c>
      <c r="D291" s="2">
        <v>1203</v>
      </c>
      <c r="E291" s="4">
        <f t="shared" si="85"/>
        <v>-8.65934574217174</v>
      </c>
      <c r="F291" s="4">
        <f t="shared" si="104"/>
        <v>-173.769360410452</v>
      </c>
      <c r="G291">
        <f t="shared" si="86"/>
        <v>-0.787109375</v>
      </c>
      <c r="H291">
        <f t="shared" si="87"/>
        <v>-0.1748046875</v>
      </c>
      <c r="I291">
        <f t="shared" si="88"/>
        <v>-0.0267505501171875</v>
      </c>
      <c r="J291">
        <f t="shared" si="89"/>
        <v>1.00071716527779</v>
      </c>
      <c r="K291">
        <f t="shared" si="90"/>
        <v>-13.22138601</v>
      </c>
      <c r="L291">
        <f t="shared" si="91"/>
        <v>42.70126204</v>
      </c>
      <c r="M291">
        <f t="shared" si="92"/>
        <v>5.62209204182099</v>
      </c>
      <c r="N291">
        <f t="shared" si="93"/>
        <v>-0.988600965179009</v>
      </c>
      <c r="O291">
        <f t="shared" si="94"/>
        <v>-0.15055939574511</v>
      </c>
      <c r="P291">
        <f t="shared" si="95"/>
        <v>-0.151134094269449</v>
      </c>
      <c r="Q291">
        <f t="shared" si="96"/>
        <v>-0.120452197734375</v>
      </c>
      <c r="R291">
        <f t="shared" si="97"/>
        <v>1.01450873193904</v>
      </c>
      <c r="S291">
        <f t="shared" si="98"/>
        <v>-13.22138601</v>
      </c>
      <c r="T291">
        <f t="shared" si="99"/>
        <v>42.7239301716471</v>
      </c>
      <c r="U291">
        <f t="shared" si="100"/>
        <v>5.9268212651473</v>
      </c>
      <c r="V291">
        <f t="shared" si="101"/>
        <v>-0.683871741852704</v>
      </c>
      <c r="W291">
        <f t="shared" si="102"/>
        <v>-0.722130256553305</v>
      </c>
      <c r="X291">
        <f t="shared" si="103"/>
        <v>-0.806876876140451</v>
      </c>
    </row>
    <row r="292" spans="3:24">
      <c r="C292" s="2">
        <v>1812</v>
      </c>
      <c r="D292" s="2">
        <v>1228</v>
      </c>
      <c r="E292" s="4">
        <f t="shared" si="85"/>
        <v>-9.88624060714405</v>
      </c>
      <c r="F292" s="4">
        <f t="shared" si="104"/>
        <v>-175.014059359608</v>
      </c>
      <c r="G292">
        <f t="shared" si="86"/>
        <v>-0.76953125</v>
      </c>
      <c r="H292">
        <f t="shared" si="87"/>
        <v>-0.19921875</v>
      </c>
      <c r="I292">
        <f t="shared" si="88"/>
        <v>-0.03048666046875</v>
      </c>
      <c r="J292">
        <f t="shared" si="89"/>
        <v>1.00093147998504</v>
      </c>
      <c r="K292">
        <f t="shared" si="90"/>
        <v>-13.22138601</v>
      </c>
      <c r="L292">
        <f t="shared" si="91"/>
        <v>42.70126204</v>
      </c>
      <c r="M292">
        <f t="shared" si="92"/>
        <v>5.62554242104396</v>
      </c>
      <c r="N292">
        <f t="shared" si="93"/>
        <v>-0.985150585956045</v>
      </c>
      <c r="O292">
        <f t="shared" si="94"/>
        <v>-0.171692524561968</v>
      </c>
      <c r="P292">
        <f t="shared" si="95"/>
        <v>-0.172547449239027</v>
      </c>
      <c r="Q292">
        <f t="shared" si="96"/>
        <v>-0.11776219828125</v>
      </c>
      <c r="R292">
        <f t="shared" si="97"/>
        <v>1.01386793534403</v>
      </c>
      <c r="S292">
        <f t="shared" si="98"/>
        <v>-13.22138601</v>
      </c>
      <c r="T292">
        <f t="shared" si="99"/>
        <v>42.7307403629905</v>
      </c>
      <c r="U292">
        <f t="shared" si="100"/>
        <v>5.91391543333834</v>
      </c>
      <c r="V292">
        <f t="shared" si="101"/>
        <v>-0.696777573661659</v>
      </c>
      <c r="W292">
        <f t="shared" si="102"/>
        <v>-0.70693324854187</v>
      </c>
      <c r="X292">
        <f t="shared" si="103"/>
        <v>-0.78515278128156</v>
      </c>
    </row>
    <row r="293" spans="3:24">
      <c r="C293" s="2">
        <v>1796</v>
      </c>
      <c r="D293" s="2">
        <v>1251</v>
      </c>
      <c r="E293" s="4">
        <f t="shared" ref="E293:E306" si="105">P293*180/PI()</f>
        <v>-11.0211918534042</v>
      </c>
      <c r="F293" s="4">
        <f t="shared" si="104"/>
        <v>-176.056948097372</v>
      </c>
      <c r="G293">
        <f t="shared" ref="G293:G306" si="106">(1024-C293)/1024</f>
        <v>-0.75390625</v>
      </c>
      <c r="H293">
        <f t="shared" ref="H293:H306" si="107">(1024-D293)/1024</f>
        <v>-0.2216796875</v>
      </c>
      <c r="I293">
        <f t="shared" ref="I293:I306" si="108">0.15303108*H293</f>
        <v>-0.0339238819921875</v>
      </c>
      <c r="J293">
        <f t="shared" ref="J293:J306" si="109">1+1.002198664*I293^2</f>
        <v>1.0011533600574</v>
      </c>
      <c r="K293">
        <f t="shared" ref="K293:K306" si="110">-13.22138601</f>
        <v>-13.22138601</v>
      </c>
      <c r="L293">
        <f t="shared" ref="L293:L306" si="111">42.70126204</f>
        <v>42.70126204</v>
      </c>
      <c r="M293">
        <f t="shared" ref="M293:M306" si="112">(-K293-(K293^2-4*J293*L293)^0.5)/2/J293</f>
        <v>5.62913646476336</v>
      </c>
      <c r="N293">
        <f t="shared" ref="N293:N306" si="113">M293-6.610693007</f>
        <v>-0.981556542236639</v>
      </c>
      <c r="O293">
        <f t="shared" ref="O293:O306" si="114">IF(H293&gt;=0,1,-1)*(1-N293^2)^0.5</f>
        <v>-0.191172054423373</v>
      </c>
      <c r="P293">
        <f t="shared" ref="P293:P306" si="115">ASIN(O293)</f>
        <v>-0.19235608533588</v>
      </c>
      <c r="Q293">
        <f t="shared" ref="Q293:Q306" si="116">0.15303108*G293</f>
        <v>-0.11537108765625</v>
      </c>
      <c r="R293">
        <f t="shared" ref="R293:R306" si="117">1+Q293^2</f>
        <v>1.01331048786699</v>
      </c>
      <c r="S293">
        <f t="shared" ref="S293:S306" si="118">-13.22138601</f>
        <v>-13.22138601</v>
      </c>
      <c r="T293">
        <f t="shared" ref="T293:T306" si="119">43.70126204-(COS(P293))^2</f>
        <v>42.7378087943925</v>
      </c>
      <c r="U293">
        <f t="shared" ref="U293:U306" si="120">(-S293-(S293^2-4*R293*T293)^0.5)/2/R293</f>
        <v>5.90394295987401</v>
      </c>
      <c r="V293">
        <f t="shared" ref="V293:V306" si="121">U293-6.610693007</f>
        <v>-0.706750047125987</v>
      </c>
      <c r="W293">
        <f t="shared" ref="W293:W306" si="122">IF(G293&gt;=0,1,-1)*(1-(V293/COS(P293))^2)^0.5</f>
        <v>-0.693943052746171</v>
      </c>
      <c r="X293">
        <f t="shared" ref="X293:X306" si="123">ASIN(W293)</f>
        <v>-0.766950939075611</v>
      </c>
    </row>
    <row r="294" spans="3:24">
      <c r="C294" s="2">
        <v>1778</v>
      </c>
      <c r="D294" s="2">
        <v>1281</v>
      </c>
      <c r="E294" s="4">
        <f t="shared" si="105"/>
        <v>-12.5118217292247</v>
      </c>
      <c r="F294" s="4">
        <f t="shared" si="104"/>
        <v>-177.12129126062</v>
      </c>
      <c r="G294">
        <f t="shared" si="106"/>
        <v>-0.736328125</v>
      </c>
      <c r="H294">
        <f t="shared" si="107"/>
        <v>-0.2509765625</v>
      </c>
      <c r="I294">
        <f t="shared" si="108"/>
        <v>-0.0384072144140625</v>
      </c>
      <c r="J294">
        <f t="shared" si="109"/>
        <v>1.00147835739936</v>
      </c>
      <c r="K294">
        <f t="shared" si="110"/>
        <v>-13.22138601</v>
      </c>
      <c r="L294">
        <f t="shared" si="111"/>
        <v>42.70126204</v>
      </c>
      <c r="M294">
        <f t="shared" si="112"/>
        <v>5.63444167823477</v>
      </c>
      <c r="N294">
        <f t="shared" si="113"/>
        <v>-0.976251328765233</v>
      </c>
      <c r="O294">
        <f t="shared" si="114"/>
        <v>-0.216641046628095</v>
      </c>
      <c r="P294">
        <f t="shared" si="115"/>
        <v>-0.218372484597541</v>
      </c>
      <c r="Q294">
        <f t="shared" si="116"/>
        <v>-0.112681088203125</v>
      </c>
      <c r="R294">
        <f t="shared" si="117"/>
        <v>1.01269702763864</v>
      </c>
      <c r="S294">
        <f t="shared" si="118"/>
        <v>-13.22138601</v>
      </c>
      <c r="T294">
        <f t="shared" si="119"/>
        <v>42.7481953830841</v>
      </c>
      <c r="U294">
        <f t="shared" si="120"/>
        <v>5.89530012782703</v>
      </c>
      <c r="V294">
        <f t="shared" si="121"/>
        <v>-0.715392879172967</v>
      </c>
      <c r="W294">
        <f t="shared" si="122"/>
        <v>-0.680448607119729</v>
      </c>
      <c r="X294">
        <f t="shared" si="123"/>
        <v>-0.748374646505848</v>
      </c>
    </row>
    <row r="295" spans="3:24">
      <c r="C295" s="2">
        <v>1769</v>
      </c>
      <c r="D295" s="2">
        <v>1304</v>
      </c>
      <c r="E295" s="4">
        <f t="shared" si="105"/>
        <v>-13.6635376569586</v>
      </c>
      <c r="F295" s="4">
        <f t="shared" si="104"/>
        <v>-177.519996100457</v>
      </c>
      <c r="G295">
        <f t="shared" si="106"/>
        <v>-0.7275390625</v>
      </c>
      <c r="H295">
        <f t="shared" si="107"/>
        <v>-0.2734375</v>
      </c>
      <c r="I295">
        <f t="shared" si="108"/>
        <v>-0.0418444359375</v>
      </c>
      <c r="J295">
        <f t="shared" si="109"/>
        <v>1.00175480658465</v>
      </c>
      <c r="K295">
        <f t="shared" si="110"/>
        <v>-13.22138601</v>
      </c>
      <c r="L295">
        <f t="shared" si="111"/>
        <v>42.70126204</v>
      </c>
      <c r="M295">
        <f t="shared" si="112"/>
        <v>5.6389933628065</v>
      </c>
      <c r="N295">
        <f t="shared" si="113"/>
        <v>-0.971699644193497</v>
      </c>
      <c r="O295">
        <f t="shared" si="114"/>
        <v>-0.236219816006684</v>
      </c>
      <c r="P295">
        <f t="shared" si="115"/>
        <v>-0.238473719584159</v>
      </c>
      <c r="Q295">
        <f t="shared" si="116"/>
        <v>-0.111336088476563</v>
      </c>
      <c r="R295">
        <f t="shared" si="117"/>
        <v>1.01239572459726</v>
      </c>
      <c r="S295">
        <f t="shared" si="118"/>
        <v>-13.22138601</v>
      </c>
      <c r="T295">
        <f t="shared" si="119"/>
        <v>42.7570618414742</v>
      </c>
      <c r="U295">
        <f t="shared" si="120"/>
        <v>5.89405181793731</v>
      </c>
      <c r="V295">
        <f t="shared" si="121"/>
        <v>-0.716641189062689</v>
      </c>
      <c r="W295">
        <f t="shared" si="122"/>
        <v>-0.67533285831606</v>
      </c>
      <c r="X295">
        <f t="shared" si="123"/>
        <v>-0.741415934307048</v>
      </c>
    </row>
    <row r="296" spans="3:24">
      <c r="C296" s="2">
        <v>1775</v>
      </c>
      <c r="D296" s="2">
        <v>1318</v>
      </c>
      <c r="E296" s="4">
        <f t="shared" si="105"/>
        <v>-14.3687708868394</v>
      </c>
      <c r="F296" s="4">
        <f t="shared" si="104"/>
        <v>-176.840983549319</v>
      </c>
      <c r="G296">
        <f t="shared" si="106"/>
        <v>-0.7333984375</v>
      </c>
      <c r="H296">
        <f t="shared" si="107"/>
        <v>-0.287109375</v>
      </c>
      <c r="I296">
        <f t="shared" si="108"/>
        <v>-0.043936657734375</v>
      </c>
      <c r="J296">
        <f t="shared" si="109"/>
        <v>1.00193467425958</v>
      </c>
      <c r="K296">
        <f t="shared" si="110"/>
        <v>-13.22138601</v>
      </c>
      <c r="L296">
        <f t="shared" si="111"/>
        <v>42.70126204</v>
      </c>
      <c r="M296">
        <f t="shared" si="112"/>
        <v>5.64197444111795</v>
      </c>
      <c r="N296">
        <f t="shared" si="113"/>
        <v>-0.968718565882046</v>
      </c>
      <c r="O296">
        <f t="shared" si="114"/>
        <v>-0.248161923178057</v>
      </c>
      <c r="P296">
        <f t="shared" si="115"/>
        <v>-0.250782361440053</v>
      </c>
      <c r="Q296">
        <f t="shared" si="116"/>
        <v>-0.112232754960938</v>
      </c>
      <c r="R296">
        <f t="shared" si="117"/>
        <v>1.01259619128612</v>
      </c>
      <c r="S296">
        <f t="shared" si="118"/>
        <v>-13.22138601</v>
      </c>
      <c r="T296">
        <f t="shared" si="119"/>
        <v>42.7628463801154</v>
      </c>
      <c r="U296">
        <f t="shared" si="120"/>
        <v>5.9040534063903</v>
      </c>
      <c r="V296">
        <f t="shared" si="121"/>
        <v>-0.706639600609702</v>
      </c>
      <c r="W296">
        <f t="shared" si="122"/>
        <v>-0.684025501138564</v>
      </c>
      <c r="X296">
        <f t="shared" si="123"/>
        <v>-0.753266938986773</v>
      </c>
    </row>
    <row r="297" spans="3:24">
      <c r="C297" s="2">
        <v>1778</v>
      </c>
      <c r="D297" s="2">
        <v>1322</v>
      </c>
      <c r="E297" s="4">
        <f t="shared" si="105"/>
        <v>-14.5708843782517</v>
      </c>
      <c r="F297" s="4">
        <f t="shared" si="104"/>
        <v>-176.538560570127</v>
      </c>
      <c r="G297">
        <f t="shared" si="106"/>
        <v>-0.736328125</v>
      </c>
      <c r="H297">
        <f t="shared" si="107"/>
        <v>-0.291015625</v>
      </c>
      <c r="I297">
        <f t="shared" si="108"/>
        <v>-0.044534435390625</v>
      </c>
      <c r="J297">
        <f t="shared" si="109"/>
        <v>1.00198767658091</v>
      </c>
      <c r="K297">
        <f t="shared" si="110"/>
        <v>-13.22138601</v>
      </c>
      <c r="L297">
        <f t="shared" si="111"/>
        <v>42.70126204</v>
      </c>
      <c r="M297">
        <f t="shared" si="112"/>
        <v>5.64285586903129</v>
      </c>
      <c r="N297">
        <f t="shared" si="113"/>
        <v>-0.967837137968711</v>
      </c>
      <c r="O297">
        <f t="shared" si="114"/>
        <v>-0.251577571274816</v>
      </c>
      <c r="P297">
        <f t="shared" si="115"/>
        <v>-0.254309907327898</v>
      </c>
      <c r="Q297">
        <f t="shared" si="116"/>
        <v>-0.112681088203125</v>
      </c>
      <c r="R297">
        <f t="shared" si="117"/>
        <v>1.01269702763864</v>
      </c>
      <c r="S297">
        <f t="shared" si="118"/>
        <v>-13.22138601</v>
      </c>
      <c r="T297">
        <f t="shared" si="119"/>
        <v>42.7645533143685</v>
      </c>
      <c r="U297">
        <f t="shared" si="120"/>
        <v>5.90820054211628</v>
      </c>
      <c r="V297">
        <f t="shared" si="121"/>
        <v>-0.702492464883722</v>
      </c>
      <c r="W297">
        <f t="shared" si="122"/>
        <v>-0.687866236423719</v>
      </c>
      <c r="X297">
        <f t="shared" si="123"/>
        <v>-0.758545215707376</v>
      </c>
    </row>
    <row r="298" spans="3:24">
      <c r="C298" s="2">
        <v>1781</v>
      </c>
      <c r="D298" s="2">
        <v>1312</v>
      </c>
      <c r="E298" s="4">
        <f t="shared" si="105"/>
        <v>-14.0661218598262</v>
      </c>
      <c r="F298" s="4">
        <f t="shared" si="104"/>
        <v>-176.44995022822</v>
      </c>
      <c r="G298">
        <f t="shared" si="106"/>
        <v>-0.7392578125</v>
      </c>
      <c r="H298">
        <f t="shared" si="107"/>
        <v>-0.28125</v>
      </c>
      <c r="I298">
        <f t="shared" si="108"/>
        <v>-0.04303999125</v>
      </c>
      <c r="J298">
        <f t="shared" si="109"/>
        <v>1.0018565137418</v>
      </c>
      <c r="K298">
        <f t="shared" si="110"/>
        <v>-13.22138601</v>
      </c>
      <c r="L298">
        <f t="shared" si="111"/>
        <v>42.70126204</v>
      </c>
      <c r="M298">
        <f t="shared" si="112"/>
        <v>5.64067711534174</v>
      </c>
      <c r="N298">
        <f t="shared" si="113"/>
        <v>-0.97001589165826</v>
      </c>
      <c r="O298">
        <f t="shared" si="114"/>
        <v>-0.24304149837102</v>
      </c>
      <c r="P298">
        <f t="shared" si="115"/>
        <v>-0.245500139440716</v>
      </c>
      <c r="Q298">
        <f t="shared" si="116"/>
        <v>-0.113129421445313</v>
      </c>
      <c r="R298">
        <f t="shared" si="117"/>
        <v>1.01279826599655</v>
      </c>
      <c r="S298">
        <f t="shared" si="118"/>
        <v>-13.22138601</v>
      </c>
      <c r="T298">
        <f t="shared" si="119"/>
        <v>42.7603312099304</v>
      </c>
      <c r="U298">
        <f t="shared" si="120"/>
        <v>5.90765187928172</v>
      </c>
      <c r="V298">
        <f t="shared" si="121"/>
        <v>-0.703041127718276</v>
      </c>
      <c r="W298">
        <f t="shared" si="122"/>
        <v>-0.68898795165855</v>
      </c>
      <c r="X298">
        <f t="shared" si="123"/>
        <v>-0.760091757924965</v>
      </c>
    </row>
    <row r="299" spans="3:24">
      <c r="C299" s="2">
        <v>1770</v>
      </c>
      <c r="D299" s="2">
        <v>1320</v>
      </c>
      <c r="E299" s="4">
        <f t="shared" si="105"/>
        <v>-14.4697924829314</v>
      </c>
      <c r="F299" s="4">
        <f t="shared" si="104"/>
        <v>-177.208808695893</v>
      </c>
      <c r="G299">
        <f t="shared" si="106"/>
        <v>-0.728515625</v>
      </c>
      <c r="H299">
        <f t="shared" si="107"/>
        <v>-0.2890625</v>
      </c>
      <c r="I299">
        <f t="shared" si="108"/>
        <v>-0.0442355465625</v>
      </c>
      <c r="J299">
        <f t="shared" si="109"/>
        <v>1.0019610858893</v>
      </c>
      <c r="K299">
        <f t="shared" si="110"/>
        <v>-13.22138601</v>
      </c>
      <c r="L299">
        <f t="shared" si="111"/>
        <v>42.70126204</v>
      </c>
      <c r="M299">
        <f t="shared" si="112"/>
        <v>5.64241349567803</v>
      </c>
      <c r="N299">
        <f t="shared" si="113"/>
        <v>-0.968279511321967</v>
      </c>
      <c r="O299">
        <f t="shared" si="114"/>
        <v>-0.249869541869538</v>
      </c>
      <c r="P299">
        <f t="shared" si="115"/>
        <v>-0.252545520907479</v>
      </c>
      <c r="Q299">
        <f t="shared" si="116"/>
        <v>-0.111485532890625</v>
      </c>
      <c r="R299">
        <f t="shared" si="117"/>
        <v>1.01242902404391</v>
      </c>
      <c r="S299">
        <f t="shared" si="118"/>
        <v>-13.22138601</v>
      </c>
      <c r="T299">
        <f t="shared" si="119"/>
        <v>42.7636968279541</v>
      </c>
      <c r="U299">
        <f t="shared" si="120"/>
        <v>5.90013627639327</v>
      </c>
      <c r="V299">
        <f t="shared" si="121"/>
        <v>-0.710556730606735</v>
      </c>
      <c r="W299">
        <f t="shared" si="122"/>
        <v>-0.679328492055419</v>
      </c>
      <c r="X299">
        <f t="shared" si="123"/>
        <v>-0.746847179107437</v>
      </c>
    </row>
    <row r="300" spans="3:24">
      <c r="C300" s="2">
        <v>1764</v>
      </c>
      <c r="D300" s="2">
        <v>1325</v>
      </c>
      <c r="E300" s="4">
        <f t="shared" si="105"/>
        <v>-14.722655363126</v>
      </c>
      <c r="F300" s="4">
        <f t="shared" si="104"/>
        <v>-177.606945271767</v>
      </c>
      <c r="G300">
        <f t="shared" si="106"/>
        <v>-0.72265625</v>
      </c>
      <c r="H300">
        <f t="shared" si="107"/>
        <v>-0.2939453125</v>
      </c>
      <c r="I300">
        <f t="shared" si="108"/>
        <v>-0.0449827686328125</v>
      </c>
      <c r="J300">
        <f t="shared" si="109"/>
        <v>1.00202789835939</v>
      </c>
      <c r="K300">
        <f t="shared" si="110"/>
        <v>-13.22138601</v>
      </c>
      <c r="L300">
        <f t="shared" si="111"/>
        <v>42.70126204</v>
      </c>
      <c r="M300">
        <f t="shared" si="112"/>
        <v>5.64352566843884</v>
      </c>
      <c r="N300">
        <f t="shared" si="113"/>
        <v>-0.967167338561158</v>
      </c>
      <c r="O300">
        <f t="shared" si="114"/>
        <v>-0.254140392737021</v>
      </c>
      <c r="P300">
        <f t="shared" si="115"/>
        <v>-0.256958810722951</v>
      </c>
      <c r="Q300">
        <f t="shared" si="116"/>
        <v>-0.11058886640625</v>
      </c>
      <c r="R300">
        <f t="shared" si="117"/>
        <v>1.01222989737302</v>
      </c>
      <c r="S300">
        <f t="shared" si="118"/>
        <v>-13.22138601</v>
      </c>
      <c r="T300">
        <f t="shared" si="119"/>
        <v>42.7658493792205</v>
      </c>
      <c r="U300">
        <f t="shared" si="120"/>
        <v>5.89640407197515</v>
      </c>
      <c r="V300">
        <f t="shared" si="121"/>
        <v>-0.714288935024855</v>
      </c>
      <c r="W300">
        <f t="shared" si="122"/>
        <v>-0.674212868653987</v>
      </c>
      <c r="X300">
        <f t="shared" si="123"/>
        <v>-0.739898384985816</v>
      </c>
    </row>
    <row r="301" spans="3:24">
      <c r="C301" s="2">
        <v>1755</v>
      </c>
      <c r="D301" s="2">
        <v>1338</v>
      </c>
      <c r="E301" s="4">
        <f t="shared" si="105"/>
        <v>-15.3822239348585</v>
      </c>
      <c r="F301" s="4">
        <f t="shared" si="104"/>
        <v>-178.11153303636</v>
      </c>
      <c r="G301">
        <f t="shared" si="106"/>
        <v>-0.7138671875</v>
      </c>
      <c r="H301">
        <f t="shared" si="107"/>
        <v>-0.306640625</v>
      </c>
      <c r="I301">
        <f t="shared" si="108"/>
        <v>-0.046925546015625</v>
      </c>
      <c r="J301">
        <f t="shared" si="109"/>
        <v>1.00220684834209</v>
      </c>
      <c r="K301">
        <f t="shared" si="110"/>
        <v>-13.22138601</v>
      </c>
      <c r="L301">
        <f t="shared" si="111"/>
        <v>42.70126204</v>
      </c>
      <c r="M301">
        <f t="shared" si="112"/>
        <v>5.64651526015191</v>
      </c>
      <c r="N301">
        <f t="shared" si="113"/>
        <v>-0.964177746848093</v>
      </c>
      <c r="O301">
        <f t="shared" si="114"/>
        <v>-0.265256993278094</v>
      </c>
      <c r="P301">
        <f t="shared" si="115"/>
        <v>-0.268470453942359</v>
      </c>
      <c r="Q301">
        <f t="shared" si="116"/>
        <v>-0.109243866679688</v>
      </c>
      <c r="R301">
        <f t="shared" si="117"/>
        <v>1.01193422240713</v>
      </c>
      <c r="S301">
        <f t="shared" si="118"/>
        <v>-13.22138601</v>
      </c>
      <c r="T301">
        <f t="shared" si="119"/>
        <v>42.7716233124829</v>
      </c>
      <c r="U301">
        <f t="shared" si="120"/>
        <v>5.89291477979013</v>
      </c>
      <c r="V301">
        <f t="shared" si="121"/>
        <v>-0.71777822720987</v>
      </c>
      <c r="W301">
        <f t="shared" si="122"/>
        <v>-0.667682719875466</v>
      </c>
      <c r="X301">
        <f t="shared" si="123"/>
        <v>-0.731091667128384</v>
      </c>
    </row>
    <row r="302" spans="3:24">
      <c r="C302" s="2">
        <v>1765</v>
      </c>
      <c r="D302" s="2">
        <v>1342</v>
      </c>
      <c r="E302" s="4">
        <f t="shared" si="105"/>
        <v>-15.5858051167051</v>
      </c>
      <c r="F302" s="4">
        <f t="shared" si="104"/>
        <v>-177.26003286312</v>
      </c>
      <c r="G302">
        <f t="shared" si="106"/>
        <v>-0.7236328125</v>
      </c>
      <c r="H302">
        <f t="shared" si="107"/>
        <v>-0.310546875</v>
      </c>
      <c r="I302">
        <f t="shared" si="108"/>
        <v>-0.047523323671875</v>
      </c>
      <c r="J302">
        <f t="shared" si="109"/>
        <v>1.00226343190136</v>
      </c>
      <c r="K302">
        <f t="shared" si="110"/>
        <v>-13.22138601</v>
      </c>
      <c r="L302">
        <f t="shared" si="111"/>
        <v>42.70126204</v>
      </c>
      <c r="M302">
        <f t="shared" si="112"/>
        <v>5.64746384556198</v>
      </c>
      <c r="N302">
        <f t="shared" si="113"/>
        <v>-0.963229161438024</v>
      </c>
      <c r="O302">
        <f t="shared" si="114"/>
        <v>-0.268681191294443</v>
      </c>
      <c r="P302">
        <f t="shared" si="115"/>
        <v>-0.272023615860683</v>
      </c>
      <c r="Q302">
        <f t="shared" si="116"/>
        <v>-0.110738310820313</v>
      </c>
      <c r="R302">
        <f t="shared" si="117"/>
        <v>1.01226297348334</v>
      </c>
      <c r="S302">
        <f t="shared" si="118"/>
        <v>-13.22138601</v>
      </c>
      <c r="T302">
        <f t="shared" si="119"/>
        <v>42.7734516225554</v>
      </c>
      <c r="U302">
        <f t="shared" si="120"/>
        <v>5.9032576711074</v>
      </c>
      <c r="V302">
        <f t="shared" si="121"/>
        <v>-0.707435335892603</v>
      </c>
      <c r="W302">
        <f t="shared" si="122"/>
        <v>-0.67867215048609</v>
      </c>
      <c r="X302">
        <f t="shared" si="123"/>
        <v>-0.745953148732724</v>
      </c>
    </row>
    <row r="303" spans="3:24">
      <c r="C303" s="2">
        <v>1758</v>
      </c>
      <c r="D303" s="2">
        <v>1331</v>
      </c>
      <c r="E303" s="4">
        <f t="shared" si="105"/>
        <v>-15.0266842354252</v>
      </c>
      <c r="F303" s="4">
        <f t="shared" si="104"/>
        <v>-177.985652867637</v>
      </c>
      <c r="G303">
        <f t="shared" si="106"/>
        <v>-0.716796875</v>
      </c>
      <c r="H303">
        <f t="shared" si="107"/>
        <v>-0.2998046875</v>
      </c>
      <c r="I303">
        <f t="shared" si="108"/>
        <v>-0.0458794351171875</v>
      </c>
      <c r="J303">
        <f t="shared" si="109"/>
        <v>1.00210955058414</v>
      </c>
      <c r="K303">
        <f t="shared" si="110"/>
        <v>-13.22138601</v>
      </c>
      <c r="L303">
        <f t="shared" si="111"/>
        <v>42.70126204</v>
      </c>
      <c r="M303">
        <f t="shared" si="112"/>
        <v>5.64488782467818</v>
      </c>
      <c r="N303">
        <f t="shared" si="113"/>
        <v>-0.96580518232182</v>
      </c>
      <c r="O303">
        <f t="shared" si="114"/>
        <v>-0.259268875494756</v>
      </c>
      <c r="P303">
        <f t="shared" si="115"/>
        <v>-0.262265115565696</v>
      </c>
      <c r="Q303">
        <f t="shared" si="116"/>
        <v>-0.109692199921875</v>
      </c>
      <c r="R303">
        <f t="shared" si="117"/>
        <v>1.0120323787237</v>
      </c>
      <c r="S303">
        <f t="shared" si="118"/>
        <v>-13.22138601</v>
      </c>
      <c r="T303">
        <f t="shared" si="119"/>
        <v>42.7684823898003</v>
      </c>
      <c r="U303">
        <f t="shared" si="120"/>
        <v>5.89312172982622</v>
      </c>
      <c r="V303">
        <f t="shared" si="121"/>
        <v>-0.717571277173777</v>
      </c>
      <c r="W303">
        <f t="shared" si="122"/>
        <v>-0.669316672334387</v>
      </c>
      <c r="X303">
        <f t="shared" si="123"/>
        <v>-0.73328869053557</v>
      </c>
    </row>
    <row r="304" spans="3:24">
      <c r="C304" s="2">
        <v>1752</v>
      </c>
      <c r="D304" s="2">
        <v>1348</v>
      </c>
      <c r="E304" s="4">
        <f t="shared" si="105"/>
        <v>-15.8917572419508</v>
      </c>
      <c r="F304" s="4">
        <f t="shared" si="104"/>
        <v>-178.186620839564</v>
      </c>
      <c r="G304">
        <f t="shared" si="106"/>
        <v>-0.7109375</v>
      </c>
      <c r="H304">
        <f t="shared" si="107"/>
        <v>-0.31640625</v>
      </c>
      <c r="I304">
        <f t="shared" si="108"/>
        <v>-0.04841999015625</v>
      </c>
      <c r="J304">
        <f t="shared" si="109"/>
        <v>1.00234965020447</v>
      </c>
      <c r="K304">
        <f t="shared" si="110"/>
        <v>-13.22138601</v>
      </c>
      <c r="L304">
        <f t="shared" si="111"/>
        <v>42.70126204</v>
      </c>
      <c r="M304">
        <f t="shared" si="112"/>
        <v>5.64891229473499</v>
      </c>
      <c r="N304">
        <f t="shared" si="113"/>
        <v>-0.961780712265005</v>
      </c>
      <c r="O304">
        <f t="shared" si="114"/>
        <v>-0.273820856610703</v>
      </c>
      <c r="P304">
        <f t="shared" si="115"/>
        <v>-0.277363487799694</v>
      </c>
      <c r="Q304">
        <f t="shared" si="116"/>
        <v>-0.1087955334375</v>
      </c>
      <c r="R304">
        <f t="shared" si="117"/>
        <v>1.01183646809595</v>
      </c>
      <c r="S304">
        <f t="shared" si="118"/>
        <v>-13.22138601</v>
      </c>
      <c r="T304">
        <f t="shared" si="119"/>
        <v>42.776239901515</v>
      </c>
      <c r="U304">
        <f t="shared" si="120"/>
        <v>5.8938582823225</v>
      </c>
      <c r="V304">
        <f t="shared" si="121"/>
        <v>-0.716834724677498</v>
      </c>
      <c r="W304">
        <f t="shared" si="122"/>
        <v>-0.666706528475272</v>
      </c>
      <c r="X304">
        <f t="shared" si="123"/>
        <v>-0.729781137734393</v>
      </c>
    </row>
    <row r="305" spans="3:24">
      <c r="C305" s="2">
        <v>1757</v>
      </c>
      <c r="D305" s="2">
        <v>1351</v>
      </c>
      <c r="E305" s="4">
        <f t="shared" si="105"/>
        <v>-16.0449991973517</v>
      </c>
      <c r="F305" s="4">
        <f t="shared" si="104"/>
        <v>-177.745348112105</v>
      </c>
      <c r="G305">
        <f t="shared" si="106"/>
        <v>-0.7158203125</v>
      </c>
      <c r="H305">
        <f t="shared" si="107"/>
        <v>-0.3193359375</v>
      </c>
      <c r="I305">
        <f t="shared" si="108"/>
        <v>-0.0488683233984375</v>
      </c>
      <c r="J305">
        <f t="shared" si="109"/>
        <v>1.00239336368993</v>
      </c>
      <c r="K305">
        <f t="shared" si="110"/>
        <v>-13.22138601</v>
      </c>
      <c r="L305">
        <f t="shared" si="111"/>
        <v>42.70126204</v>
      </c>
      <c r="M305">
        <f t="shared" si="112"/>
        <v>5.64964808871776</v>
      </c>
      <c r="N305">
        <f t="shared" si="113"/>
        <v>-0.961044918282236</v>
      </c>
      <c r="O305">
        <f t="shared" si="114"/>
        <v>-0.276392230433292</v>
      </c>
      <c r="P305">
        <f t="shared" si="115"/>
        <v>-0.280038064473635</v>
      </c>
      <c r="Q305">
        <f t="shared" si="116"/>
        <v>-0.109542755507813</v>
      </c>
      <c r="R305">
        <f t="shared" si="117"/>
        <v>1.01199961528424</v>
      </c>
      <c r="S305">
        <f t="shared" si="118"/>
        <v>-13.22138601</v>
      </c>
      <c r="T305">
        <f t="shared" si="119"/>
        <v>42.7776547050439</v>
      </c>
      <c r="U305">
        <f t="shared" si="120"/>
        <v>5.89936260291842</v>
      </c>
      <c r="V305">
        <f t="shared" si="121"/>
        <v>-0.711330404081577</v>
      </c>
      <c r="W305">
        <f t="shared" si="122"/>
        <v>-0.672426904090982</v>
      </c>
      <c r="X305">
        <f t="shared" si="123"/>
        <v>-0.737482799727799</v>
      </c>
    </row>
    <row r="306" spans="3:24">
      <c r="C306" s="2">
        <v>1762</v>
      </c>
      <c r="D306" s="2">
        <v>1351</v>
      </c>
      <c r="E306" s="4">
        <f t="shared" si="105"/>
        <v>-16.0449991973517</v>
      </c>
      <c r="F306" s="4">
        <f t="shared" si="104"/>
        <v>-177.349193090825</v>
      </c>
      <c r="G306">
        <f t="shared" si="106"/>
        <v>-0.720703125</v>
      </c>
      <c r="H306">
        <f t="shared" si="107"/>
        <v>-0.3193359375</v>
      </c>
      <c r="I306">
        <f t="shared" si="108"/>
        <v>-0.0488683233984375</v>
      </c>
      <c r="J306">
        <f t="shared" si="109"/>
        <v>1.00239336368993</v>
      </c>
      <c r="K306">
        <f t="shared" si="110"/>
        <v>-13.22138601</v>
      </c>
      <c r="L306">
        <f t="shared" si="111"/>
        <v>42.70126204</v>
      </c>
      <c r="M306">
        <f t="shared" si="112"/>
        <v>5.64964808871776</v>
      </c>
      <c r="N306">
        <f t="shared" si="113"/>
        <v>-0.961044918282236</v>
      </c>
      <c r="O306">
        <f t="shared" si="114"/>
        <v>-0.276392230433292</v>
      </c>
      <c r="P306">
        <f t="shared" si="115"/>
        <v>-0.280038064473635</v>
      </c>
      <c r="Q306">
        <f t="shared" si="116"/>
        <v>-0.110289977578125</v>
      </c>
      <c r="R306">
        <f t="shared" si="117"/>
        <v>1.01216387915418</v>
      </c>
      <c r="S306">
        <f t="shared" si="118"/>
        <v>-13.22138601</v>
      </c>
      <c r="T306">
        <f t="shared" si="119"/>
        <v>42.7776547050439</v>
      </c>
      <c r="U306">
        <f t="shared" si="120"/>
        <v>5.9038477568725</v>
      </c>
      <c r="V306">
        <f t="shared" si="121"/>
        <v>-0.7068452501275</v>
      </c>
      <c r="W306">
        <f t="shared" si="122"/>
        <v>-0.677528435983812</v>
      </c>
      <c r="X306">
        <f t="shared" si="123"/>
        <v>-0.74439700919745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zoomScale="130" zoomScaleNormal="130" workbookViewId="0">
      <selection activeCell="A2" sqref="A2"/>
    </sheetView>
  </sheetViews>
  <sheetFormatPr defaultColWidth="8.88888888888889" defaultRowHeight="14.4" outlineLevelRow="1"/>
  <sheetData>
    <row r="1" s="5" customFormat="1" spans="1:22">
      <c r="A1" s="2" t="s">
        <v>2</v>
      </c>
      <c r="B1" s="2" t="s">
        <v>3</v>
      </c>
      <c r="C1" s="2" t="s">
        <v>4</v>
      </c>
      <c r="D1" s="2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12</v>
      </c>
      <c r="T1" s="5" t="s">
        <v>13</v>
      </c>
      <c r="U1" s="5" t="s">
        <v>20</v>
      </c>
      <c r="V1" s="5" t="s">
        <v>21</v>
      </c>
    </row>
    <row r="2" spans="1:22">
      <c r="A2" s="2"/>
      <c r="B2" s="2"/>
      <c r="C2" s="2" t="e">
        <f>N2*180/PI()</f>
        <v>#NUM!</v>
      </c>
      <c r="D2" s="2" t="e">
        <f>V2*180/PI()</f>
        <v>#NUM!</v>
      </c>
      <c r="E2">
        <f>(1024-A2)/1024</f>
        <v>1</v>
      </c>
      <c r="F2">
        <f>(1024-B2)/1024</f>
        <v>1</v>
      </c>
      <c r="G2">
        <f>0.15303108*F2</f>
        <v>0.15303108</v>
      </c>
      <c r="H2">
        <f>1+1.002198664*G2^2</f>
        <v>1.02347000088402</v>
      </c>
      <c r="I2">
        <f>-13.22138601</f>
        <v>-13.22138601</v>
      </c>
      <c r="J2">
        <f>42.70126204</f>
        <v>42.70126204</v>
      </c>
      <c r="K2" t="e">
        <f>(-I2-(I2^2-4*H2*J2)^0.5)/2/H2</f>
        <v>#NUM!</v>
      </c>
      <c r="L2" t="e">
        <f>K2-6.610693007</f>
        <v>#NUM!</v>
      </c>
      <c r="M2" t="e">
        <f>IF(E2&gt;=0,1,-1)*(1-L2^2)^0.5</f>
        <v>#NUM!</v>
      </c>
      <c r="N2" t="e">
        <f>ASIN(M2)</f>
        <v>#NUM!</v>
      </c>
      <c r="O2">
        <f>0.15303108*E2</f>
        <v>0.15303108</v>
      </c>
      <c r="P2">
        <f>1+O2^2</f>
        <v>1.02341851144597</v>
      </c>
      <c r="Q2">
        <f>-13.22138601</f>
        <v>-13.22138601</v>
      </c>
      <c r="R2" t="e">
        <f>43.70126204-(COS(N2))^2</f>
        <v>#NUM!</v>
      </c>
      <c r="S2" t="e">
        <f>(-Q2-(Q2^2-4*P2*R2)^0.5)/2/P2</f>
        <v>#NUM!</v>
      </c>
      <c r="T2" t="e">
        <f>S2-6.610693007</f>
        <v>#NUM!</v>
      </c>
      <c r="U2" t="e">
        <f>IF(M2&gt;=0,1,-1)*(1-(T2/COS(N2))^2)^0.5</f>
        <v>#NUM!</v>
      </c>
      <c r="V2" t="e">
        <f>ASIN(U2)</f>
        <v>#NUM!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115" zoomScaleNormal="115" workbookViewId="0">
      <selection activeCell="B3" sqref="B3"/>
    </sheetView>
  </sheetViews>
  <sheetFormatPr defaultColWidth="8.88888888888889" defaultRowHeight="14.4" outlineLevelRow="1" outlineLevelCol="5"/>
  <cols>
    <col min="1" max="2" width="8.88888888888889" style="2"/>
    <col min="3" max="3" width="10.5555555555556" style="2"/>
    <col min="4" max="4" width="13.1111111111111" style="2"/>
  </cols>
  <sheetData>
    <row r="1" spans="1:6">
      <c r="A1" s="2" t="s">
        <v>2</v>
      </c>
      <c r="B1" s="2" t="s">
        <v>3</v>
      </c>
      <c r="C1" s="4" t="s">
        <v>4</v>
      </c>
      <c r="D1" s="4" t="s">
        <v>5</v>
      </c>
      <c r="E1" t="s">
        <v>22</v>
      </c>
      <c r="F1" t="s">
        <v>23</v>
      </c>
    </row>
    <row r="2" spans="1:6">
      <c r="A2" s="2">
        <v>20</v>
      </c>
      <c r="B2" s="2">
        <v>20</v>
      </c>
      <c r="C2" s="2">
        <f>F2*0.0801</f>
        <v>80.4204</v>
      </c>
      <c r="D2" s="2">
        <f>140+E2*0.0801</f>
        <v>59.5796</v>
      </c>
      <c r="E2">
        <f>A2-1024</f>
        <v>-1004</v>
      </c>
      <c r="F2">
        <f>1024-B2</f>
        <v>1004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zoomScale="130" zoomScaleNormal="130" workbookViewId="0">
      <selection activeCell="C1" sqref="C$1:C$1048576"/>
    </sheetView>
  </sheetViews>
  <sheetFormatPr defaultColWidth="8.88888888888889" defaultRowHeight="14.4" outlineLevelCol="2"/>
  <cols>
    <col min="1" max="1" width="14.3333333333333"/>
    <col min="3" max="3" width="12.8888888888889" style="1"/>
  </cols>
  <sheetData>
    <row r="1" spans="1:2">
      <c r="A1" s="2" t="s">
        <v>24</v>
      </c>
      <c r="B1" s="3" t="s">
        <v>25</v>
      </c>
    </row>
    <row r="2" spans="1:3">
      <c r="A2" s="2">
        <v>158.031731280552</v>
      </c>
      <c r="B2" s="1">
        <v>1582</v>
      </c>
      <c r="C2" s="1">
        <f t="shared" ref="C2:C15" si="0">A2*10</f>
        <v>1580.31731280553</v>
      </c>
    </row>
    <row r="3" spans="1:3">
      <c r="A3" s="2">
        <v>156.266469065296</v>
      </c>
      <c r="B3" s="1">
        <v>1568</v>
      </c>
      <c r="C3" s="1">
        <f t="shared" si="0"/>
        <v>1562.66469065296</v>
      </c>
    </row>
    <row r="4" spans="1:3">
      <c r="A4" s="2">
        <v>151.062548256332</v>
      </c>
      <c r="B4" s="1">
        <v>1512</v>
      </c>
      <c r="C4" s="1">
        <f t="shared" si="0"/>
        <v>1510.62548256332</v>
      </c>
    </row>
    <row r="5" spans="1:3">
      <c r="A5" s="2">
        <v>142.424785452083</v>
      </c>
      <c r="B5" s="1">
        <v>1426</v>
      </c>
      <c r="C5" s="1">
        <f t="shared" si="0"/>
        <v>1424.24785452083</v>
      </c>
    </row>
    <row r="6" spans="1:3">
      <c r="A6" s="2">
        <v>140.793592176724</v>
      </c>
      <c r="B6" s="1">
        <v>1409</v>
      </c>
      <c r="C6" s="1">
        <f t="shared" si="0"/>
        <v>1407.93592176724</v>
      </c>
    </row>
    <row r="7" spans="1:3">
      <c r="A7" s="2">
        <v>131.649696723516</v>
      </c>
      <c r="B7" s="1">
        <v>1315</v>
      </c>
      <c r="C7" s="1">
        <f t="shared" si="0"/>
        <v>1316.49696723516</v>
      </c>
    </row>
    <row r="8" spans="1:3">
      <c r="A8" s="2">
        <v>125.213182645176</v>
      </c>
      <c r="B8" s="1">
        <v>1253</v>
      </c>
      <c r="C8" s="1">
        <f t="shared" si="0"/>
        <v>1252.13182645176</v>
      </c>
    </row>
    <row r="9" spans="1:3">
      <c r="A9" s="2">
        <v>122.906767571396</v>
      </c>
      <c r="B9" s="1">
        <v>1227</v>
      </c>
      <c r="C9" s="1">
        <f t="shared" si="0"/>
        <v>1229.06767571396</v>
      </c>
    </row>
    <row r="10" spans="1:3">
      <c r="A10" s="2">
        <v>122.192875964524</v>
      </c>
      <c r="B10" s="1">
        <v>1218</v>
      </c>
      <c r="C10" s="1">
        <f t="shared" si="0"/>
        <v>1221.92875964524</v>
      </c>
    </row>
    <row r="11" spans="1:3">
      <c r="A11" s="2">
        <v>121.857088172633</v>
      </c>
      <c r="B11" s="1">
        <v>1216</v>
      </c>
      <c r="C11" s="1">
        <f t="shared" si="0"/>
        <v>1218.57088172633</v>
      </c>
    </row>
    <row r="12" spans="1:3">
      <c r="A12" s="2">
        <v>121.518626494514</v>
      </c>
      <c r="B12" s="1">
        <v>1211</v>
      </c>
      <c r="C12" s="1">
        <f t="shared" si="0"/>
        <v>1215.18626494514</v>
      </c>
    </row>
    <row r="13" spans="1:3">
      <c r="A13" s="2">
        <v>121.032467552064</v>
      </c>
      <c r="B13" s="1">
        <v>1208</v>
      </c>
      <c r="C13" s="1">
        <f t="shared" si="0"/>
        <v>1210.32467552064</v>
      </c>
    </row>
    <row r="14" spans="1:3">
      <c r="A14" s="2">
        <v>119.499167246868</v>
      </c>
      <c r="B14" s="1">
        <v>1193</v>
      </c>
      <c r="C14" s="1">
        <f t="shared" si="0"/>
        <v>1194.99167246868</v>
      </c>
    </row>
    <row r="15" spans="1:3">
      <c r="A15" s="2">
        <v>105.593041776963</v>
      </c>
      <c r="B15" s="1">
        <v>1052</v>
      </c>
      <c r="C15" s="1">
        <f t="shared" si="0"/>
        <v>1055.93041776963</v>
      </c>
    </row>
  </sheetData>
  <sortState ref="A2:C15">
    <sortCondition ref="A2" descending="1"/>
  </sortState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zoomScale="130" zoomScaleNormal="130" workbookViewId="0">
      <selection activeCell="C15" sqref="C15"/>
    </sheetView>
  </sheetViews>
  <sheetFormatPr defaultColWidth="8.88888888888889" defaultRowHeight="14.4" outlineLevelCol="2"/>
  <cols>
    <col min="1" max="1" width="15.5555555555556"/>
    <col min="3" max="3" width="12.8888888888889" style="1"/>
  </cols>
  <sheetData>
    <row r="1" spans="1:2">
      <c r="A1" s="2" t="s">
        <v>26</v>
      </c>
      <c r="B1" s="3" t="s">
        <v>27</v>
      </c>
    </row>
    <row r="2" spans="1:3">
      <c r="A2" s="2">
        <v>53.4842967355838</v>
      </c>
      <c r="B2" s="1">
        <v>543</v>
      </c>
      <c r="C2" s="1">
        <f t="shared" ref="C2:C15" si="0">A2*10</f>
        <v>534.842967355838</v>
      </c>
    </row>
    <row r="3" spans="1:3">
      <c r="A3" s="2">
        <v>50.0022014390362</v>
      </c>
      <c r="B3" s="1">
        <v>510</v>
      </c>
      <c r="C3" s="1">
        <f t="shared" si="0"/>
        <v>500.022014390362</v>
      </c>
    </row>
    <row r="4" spans="1:3">
      <c r="A4" s="2">
        <v>40.7182706871026</v>
      </c>
      <c r="B4" s="1">
        <v>412</v>
      </c>
      <c r="C4" s="1">
        <f t="shared" si="0"/>
        <v>407.182706871026</v>
      </c>
    </row>
    <row r="5" spans="1:3">
      <c r="A5" s="2">
        <v>38.0176619216361</v>
      </c>
      <c r="B5" s="1">
        <v>388</v>
      </c>
      <c r="C5" s="1">
        <f t="shared" si="0"/>
        <v>380.176619216361</v>
      </c>
    </row>
    <row r="6" spans="1:3">
      <c r="A6" s="2">
        <v>36.6552763903769</v>
      </c>
      <c r="B6" s="1">
        <v>374</v>
      </c>
      <c r="C6" s="1">
        <f t="shared" si="0"/>
        <v>366.552763903769</v>
      </c>
    </row>
    <row r="7" spans="1:3">
      <c r="A7" s="2">
        <v>30.9185182979628</v>
      </c>
      <c r="B7" s="1">
        <v>315</v>
      </c>
      <c r="C7" s="1">
        <f t="shared" si="0"/>
        <v>309.185182979628</v>
      </c>
    </row>
    <row r="8" spans="1:3">
      <c r="A8" s="2">
        <v>24.8212341504652</v>
      </c>
      <c r="B8" s="1">
        <v>253</v>
      </c>
      <c r="C8" s="1">
        <f t="shared" si="0"/>
        <v>248.212341504652</v>
      </c>
    </row>
    <row r="9" spans="1:3">
      <c r="A9" s="2">
        <v>21.5391993023106</v>
      </c>
      <c r="B9" s="1">
        <v>219</v>
      </c>
      <c r="C9" s="1">
        <f t="shared" si="0"/>
        <v>215.391993023106</v>
      </c>
    </row>
    <row r="10" spans="1:3">
      <c r="A10" s="2">
        <v>6.75723174000439</v>
      </c>
      <c r="B10" s="1">
        <v>69</v>
      </c>
      <c r="C10" s="1">
        <f t="shared" si="0"/>
        <v>67.5723174000439</v>
      </c>
    </row>
    <row r="11" spans="1:3">
      <c r="A11" s="2">
        <v>5.4472682628119</v>
      </c>
      <c r="B11" s="1">
        <v>56</v>
      </c>
      <c r="C11" s="1">
        <f t="shared" si="0"/>
        <v>54.472682628119</v>
      </c>
    </row>
    <row r="12" spans="1:3">
      <c r="A12" s="2">
        <v>5.25359719155844</v>
      </c>
      <c r="B12" s="1">
        <v>54</v>
      </c>
      <c r="C12" s="1">
        <f t="shared" si="0"/>
        <v>52.5359719155844</v>
      </c>
    </row>
    <row r="13" spans="1:3">
      <c r="A13" s="2">
        <v>-6.32002482913567</v>
      </c>
      <c r="B13" s="1">
        <v>-66</v>
      </c>
      <c r="C13" s="1">
        <f t="shared" si="0"/>
        <v>-63.2002482913567</v>
      </c>
    </row>
    <row r="14" spans="1:3">
      <c r="A14" s="2">
        <v>-10.0339228951528</v>
      </c>
      <c r="B14" s="1">
        <v>-102</v>
      </c>
      <c r="C14" s="1">
        <f t="shared" si="0"/>
        <v>-100.339228951528</v>
      </c>
    </row>
    <row r="15" spans="1:3">
      <c r="A15" s="2">
        <v>-11.2192409208972</v>
      </c>
      <c r="B15" s="1">
        <v>-114</v>
      </c>
      <c r="C15" s="1">
        <f t="shared" si="0"/>
        <v>-112.192409208972</v>
      </c>
    </row>
  </sheetData>
  <sortState ref="A2:B15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2048x2048</vt:lpstr>
      <vt:lpstr>Sheet2</vt:lpstr>
      <vt:lpstr>deepseek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S_MC_Y</dc:creator>
  <cp:lastModifiedBy>WPS_1692096090</cp:lastModifiedBy>
  <dcterms:created xsi:type="dcterms:W3CDTF">2025-04-29T07:59:00Z</dcterms:created>
  <dcterms:modified xsi:type="dcterms:W3CDTF">2025-06-11T09:20:35Z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E95A97D52536462392B1ED2FE293E3EA_11</vt:lpwstr>
  </property>
  <property fmtid="{D5CDD505-2E9C-101B-9397-08002B2CF9AE}" pid="3" name="KSOProductBuildVer">
    <vt:lpwstr>2052-12.1.0.21541</vt:lpwstr>
  </property>
</Properties>
</file>