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气象\自评\2025\2025wp\"/>
    </mc:Choice>
  </mc:AlternateContent>
  <xr:revisionPtr revIDLastSave="0" documentId="13_ncr:1_{F8BBD212-52C5-43F5-931B-E61A87DA36B1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1" l="1"/>
  <c r="H11" i="1"/>
  <c r="O42" i="1"/>
  <c r="G42" i="1"/>
  <c r="F42" i="1"/>
  <c r="E42" i="1"/>
  <c r="D42" i="1"/>
  <c r="C42" i="1"/>
  <c r="B42" i="1"/>
  <c r="H40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<sst xmlns="http://schemas.openxmlformats.org/spreadsheetml/2006/main" count="226" uniqueCount="165">
  <si>
    <t>风速</t>
    <phoneticPr fontId="1" type="noConversion"/>
  </si>
  <si>
    <t>气压</t>
    <phoneticPr fontId="1" type="noConversion"/>
  </si>
  <si>
    <t>ACE</t>
    <phoneticPr fontId="1" type="noConversion"/>
  </si>
  <si>
    <t>其他</t>
    <phoneticPr fontId="1" type="noConversion"/>
  </si>
  <si>
    <t>编号 名称</t>
    <phoneticPr fontId="1" type="noConversion"/>
  </si>
  <si>
    <t>自评</t>
    <phoneticPr fontId="1" type="noConversion"/>
  </si>
  <si>
    <t>官评</t>
    <phoneticPr fontId="1" type="noConversion"/>
  </si>
  <si>
    <t>差值</t>
    <phoneticPr fontId="1" type="noConversion"/>
  </si>
  <si>
    <t>巅峰强度（主要）</t>
    <phoneticPr fontId="1" type="noConversion"/>
  </si>
  <si>
    <t>巅峰气压（主要）</t>
    <phoneticPr fontId="1" type="noConversion"/>
  </si>
  <si>
    <t>登陆强度</t>
    <phoneticPr fontId="1" type="noConversion"/>
  </si>
  <si>
    <t>登陆气压</t>
    <phoneticPr fontId="1" type="noConversion"/>
  </si>
  <si>
    <t>可信度</t>
    <phoneticPr fontId="1" type="noConversion"/>
  </si>
  <si>
    <t>活跃时长</t>
    <phoneticPr fontId="1" type="noConversion"/>
  </si>
  <si>
    <t>路径长度</t>
    <phoneticPr fontId="1" type="noConversion"/>
  </si>
  <si>
    <t>Med</t>
    <phoneticPr fontId="1" type="noConversion"/>
  </si>
  <si>
    <t>2d 0h</t>
  </si>
  <si>
    <t>1d 0h</t>
  </si>
  <si>
    <t>Low</t>
    <phoneticPr fontId="1" type="noConversion"/>
  </si>
  <si>
    <t>65 65</t>
    <phoneticPr fontId="1" type="noConversion"/>
  </si>
  <si>
    <t>982 978</t>
    <phoneticPr fontId="1" type="noConversion"/>
  </si>
  <si>
    <t>High</t>
    <phoneticPr fontId="1" type="noConversion"/>
  </si>
  <si>
    <t>1d 6h</t>
  </si>
  <si>
    <t>6d 6h</t>
  </si>
  <si>
    <t>2d 6h</t>
  </si>
  <si>
    <t>4d 6h</t>
  </si>
  <si>
    <t>3d 12h</t>
  </si>
  <si>
    <t>0d 0h</t>
  </si>
  <si>
    <t>2d 18h</t>
  </si>
  <si>
    <t>4d 12h</t>
  </si>
  <si>
    <t>5d 12h</t>
  </si>
  <si>
    <t>3d 18h</t>
  </si>
  <si>
    <t>0d 18h</t>
  </si>
  <si>
    <t>总计/最高</t>
    <phoneticPr fontId="1" type="noConversion"/>
  </si>
  <si>
    <t>/</t>
    <phoneticPr fontId="1" type="noConversion"/>
  </si>
  <si>
    <t>2026西北太平洋</t>
    <phoneticPr fontId="1" type="noConversion"/>
  </si>
  <si>
    <t>A0W</t>
    <phoneticPr fontId="1" type="noConversion"/>
  </si>
  <si>
    <t>A3W</t>
    <phoneticPr fontId="1" type="noConversion"/>
  </si>
  <si>
    <t>2501蝴蝶</t>
    <phoneticPr fontId="1" type="noConversion"/>
  </si>
  <si>
    <t>2502圣帕</t>
    <phoneticPr fontId="1" type="noConversion"/>
  </si>
  <si>
    <t>03W</t>
    <phoneticPr fontId="1" type="noConversion"/>
  </si>
  <si>
    <t>2504丹娜丝</t>
    <phoneticPr fontId="1" type="noConversion"/>
  </si>
  <si>
    <t>2503木恩</t>
    <phoneticPr fontId="1" type="noConversion"/>
  </si>
  <si>
    <t>2505百合</t>
    <phoneticPr fontId="1" type="noConversion"/>
  </si>
  <si>
    <t>07W</t>
    <phoneticPr fontId="1" type="noConversion"/>
  </si>
  <si>
    <t>08W</t>
    <phoneticPr fontId="1" type="noConversion"/>
  </si>
  <si>
    <t>2506韦帕</t>
    <phoneticPr fontId="1" type="noConversion"/>
  </si>
  <si>
    <t>2507范斯高</t>
    <phoneticPr fontId="1" type="noConversion"/>
  </si>
  <si>
    <t>2508竹节草</t>
    <phoneticPr fontId="1" type="noConversion"/>
  </si>
  <si>
    <t>2509罗莎</t>
    <phoneticPr fontId="1" type="noConversion"/>
  </si>
  <si>
    <t>2510白鹿</t>
    <phoneticPr fontId="1" type="noConversion"/>
  </si>
  <si>
    <t>14W</t>
    <phoneticPr fontId="1" type="noConversion"/>
  </si>
  <si>
    <t>15W</t>
    <phoneticPr fontId="1" type="noConversion"/>
  </si>
  <si>
    <t>2511杨柳</t>
    <phoneticPr fontId="1" type="noConversion"/>
  </si>
  <si>
    <t>17W</t>
    <phoneticPr fontId="1" type="noConversion"/>
  </si>
  <si>
    <t>2512玲玲</t>
    <phoneticPr fontId="1" type="noConversion"/>
  </si>
  <si>
    <t>2513剑鱼</t>
    <phoneticPr fontId="1" type="noConversion"/>
  </si>
  <si>
    <t>2514蓝湖</t>
    <phoneticPr fontId="1" type="noConversion"/>
  </si>
  <si>
    <t>2516塔巴</t>
    <phoneticPr fontId="1" type="noConversion"/>
  </si>
  <si>
    <t>2515琵琶</t>
    <phoneticPr fontId="1" type="noConversion"/>
  </si>
  <si>
    <t>2517米娜</t>
    <phoneticPr fontId="1" type="noConversion"/>
  </si>
  <si>
    <t>2518桦加沙</t>
    <phoneticPr fontId="1" type="noConversion"/>
  </si>
  <si>
    <t>2519浣熊</t>
    <phoneticPr fontId="1" type="noConversion"/>
  </si>
  <si>
    <t>2520博罗依</t>
    <phoneticPr fontId="1" type="noConversion"/>
  </si>
  <si>
    <t>2521麦德姆</t>
    <phoneticPr fontId="1" type="noConversion"/>
  </si>
  <si>
    <t>2522夏浪</t>
    <phoneticPr fontId="1" type="noConversion"/>
  </si>
  <si>
    <t>2523娜基莉</t>
    <phoneticPr fontId="1" type="noConversion"/>
  </si>
  <si>
    <t>2524风神</t>
    <phoneticPr fontId="1" type="noConversion"/>
  </si>
  <si>
    <t>2525海鸥</t>
    <phoneticPr fontId="1" type="noConversion"/>
  </si>
  <si>
    <t>2526凤凰</t>
    <phoneticPr fontId="1" type="noConversion"/>
  </si>
  <si>
    <t>G1W</t>
    <phoneticPr fontId="1" type="noConversion"/>
  </si>
  <si>
    <t>34W Senyar</t>
    <phoneticPr fontId="1" type="noConversion"/>
  </si>
  <si>
    <t>2527天琴</t>
    <phoneticPr fontId="1" type="noConversion"/>
  </si>
  <si>
    <t xml:space="preserve">-   </t>
  </si>
  <si>
    <t>SD</t>
    <phoneticPr fontId="1" type="noConversion"/>
  </si>
  <si>
    <t>F7W</t>
    <phoneticPr fontId="1" type="noConversion"/>
  </si>
  <si>
    <t>0d 6h</t>
  </si>
  <si>
    <t>4d 18h</t>
  </si>
  <si>
    <t>6d 18h</t>
  </si>
  <si>
    <t>2d 12h</t>
  </si>
  <si>
    <t>10d 18h</t>
  </si>
  <si>
    <t>1d 18h</t>
  </si>
  <si>
    <t>3d 0h</t>
  </si>
  <si>
    <t>6d 12h</t>
  </si>
  <si>
    <t>5d 0h</t>
  </si>
  <si>
    <t>5d 18h</t>
  </si>
  <si>
    <t>8d 0h</t>
  </si>
  <si>
    <t>30(SD) 25</t>
    <phoneticPr fontId="1" type="noConversion"/>
  </si>
  <si>
    <t>998(SD) 992</t>
    <phoneticPr fontId="1" type="noConversion"/>
  </si>
  <si>
    <t>50(NIO) 40</t>
    <phoneticPr fontId="1" type="noConversion"/>
  </si>
  <si>
    <t>990 1000</t>
    <phoneticPr fontId="1" type="noConversion"/>
  </si>
  <si>
    <t>70 60</t>
    <phoneticPr fontId="1" type="noConversion"/>
  </si>
  <si>
    <t>978 978</t>
    <phoneticPr fontId="1" type="noConversion"/>
  </si>
  <si>
    <t>105 45</t>
    <phoneticPr fontId="1" type="noConversion"/>
  </si>
  <si>
    <t>950 988</t>
    <phoneticPr fontId="1" type="noConversion"/>
  </si>
  <si>
    <t>80 60</t>
    <phoneticPr fontId="1" type="noConversion"/>
  </si>
  <si>
    <t>968 982</t>
    <phoneticPr fontId="1" type="noConversion"/>
  </si>
  <si>
    <t>75 90 60</t>
    <phoneticPr fontId="1" type="noConversion"/>
  </si>
  <si>
    <t>978 965 982</t>
    <phoneticPr fontId="1" type="noConversion"/>
  </si>
  <si>
    <t>90 70 75</t>
    <phoneticPr fontId="1" type="noConversion"/>
  </si>
  <si>
    <t>962 978 972</t>
    <phoneticPr fontId="1" type="noConversion"/>
  </si>
  <si>
    <t>65 95</t>
    <phoneticPr fontId="1" type="noConversion"/>
  </si>
  <si>
    <t>980 965</t>
    <phoneticPr fontId="1" type="noConversion"/>
  </si>
  <si>
    <t>35 110 90</t>
    <phoneticPr fontId="1" type="noConversion"/>
  </si>
  <si>
    <t>1002 955 965</t>
    <phoneticPr fontId="1" type="noConversion"/>
  </si>
  <si>
    <t>60 65(SS) 55</t>
    <phoneticPr fontId="1" type="noConversion"/>
  </si>
  <si>
    <t>980 978(SS) 982</t>
    <phoneticPr fontId="1" type="noConversion"/>
  </si>
  <si>
    <t>50 60</t>
    <phoneticPr fontId="1" type="noConversion"/>
  </si>
  <si>
    <t>990 990</t>
    <phoneticPr fontId="1" type="noConversion"/>
  </si>
  <si>
    <t>145 155 130</t>
    <phoneticPr fontId="1" type="noConversion"/>
  </si>
  <si>
    <t>890 900 915</t>
    <phoneticPr fontId="1" type="noConversion"/>
  </si>
  <si>
    <t>140 80 125</t>
    <phoneticPr fontId="1" type="noConversion"/>
  </si>
  <si>
    <t>922 968 942</t>
    <phoneticPr fontId="1" type="noConversion"/>
  </si>
  <si>
    <t>70 75 90</t>
    <phoneticPr fontId="1" type="noConversion"/>
  </si>
  <si>
    <t>982 978 972</t>
    <phoneticPr fontId="1" type="noConversion"/>
  </si>
  <si>
    <t>65 100</t>
    <phoneticPr fontId="1" type="noConversion"/>
  </si>
  <si>
    <t>982 970</t>
    <phoneticPr fontId="1" type="noConversion"/>
  </si>
  <si>
    <t>130 115</t>
    <phoneticPr fontId="1" type="noConversion"/>
  </si>
  <si>
    <t>928 945</t>
    <phoneticPr fontId="1" type="noConversion"/>
  </si>
  <si>
    <t>45 75</t>
    <phoneticPr fontId="1" type="noConversion"/>
  </si>
  <si>
    <t>992 975</t>
    <phoneticPr fontId="1" type="noConversion"/>
  </si>
  <si>
    <t>100 130</t>
    <phoneticPr fontId="1" type="noConversion"/>
  </si>
  <si>
    <t>955 932</t>
    <phoneticPr fontId="1" type="noConversion"/>
  </si>
  <si>
    <t>115 85</t>
    <phoneticPr fontId="1" type="noConversion"/>
  </si>
  <si>
    <t>940 968</t>
    <phoneticPr fontId="1" type="noConversion"/>
  </si>
  <si>
    <t>85 55</t>
    <phoneticPr fontId="1" type="noConversion"/>
  </si>
  <si>
    <t>972 982</t>
    <phoneticPr fontId="1" type="noConversion"/>
  </si>
  <si>
    <t>30 30</t>
    <phoneticPr fontId="1" type="noConversion"/>
  </si>
  <si>
    <t>1005 1005</t>
    <phoneticPr fontId="1" type="noConversion"/>
  </si>
  <si>
    <t>110 40</t>
    <phoneticPr fontId="1" type="noConversion"/>
  </si>
  <si>
    <t>15 65 60</t>
    <phoneticPr fontId="1" type="noConversion"/>
  </si>
  <si>
    <t>45 40</t>
    <phoneticPr fontId="1" type="noConversion"/>
  </si>
  <si>
    <t>100 40</t>
    <phoneticPr fontId="1" type="noConversion"/>
  </si>
  <si>
    <t>25(SD)</t>
    <phoneticPr fontId="1" type="noConversion"/>
  </si>
  <si>
    <t>45(SS)</t>
    <phoneticPr fontId="1" type="noConversion"/>
  </si>
  <si>
    <t>50 75 60</t>
    <phoneticPr fontId="1" type="noConversion"/>
  </si>
  <si>
    <t>90 30 35 55 60</t>
    <phoneticPr fontId="1" type="noConversion"/>
  </si>
  <si>
    <t>90 60</t>
    <phoneticPr fontId="1" type="noConversion"/>
  </si>
  <si>
    <t>35(MD) 40</t>
    <phoneticPr fontId="1" type="noConversion"/>
  </si>
  <si>
    <t>30 45</t>
    <phoneticPr fontId="1" type="noConversion"/>
  </si>
  <si>
    <t>35 85</t>
    <phoneticPr fontId="1" type="noConversion"/>
  </si>
  <si>
    <t>35 40 45 45</t>
    <phoneticPr fontId="1" type="noConversion"/>
  </si>
  <si>
    <t>145 115 105</t>
    <phoneticPr fontId="1" type="noConversion"/>
  </si>
  <si>
    <t>65 60 55 90</t>
    <phoneticPr fontId="1" type="noConversion"/>
  </si>
  <si>
    <t>45 25</t>
    <phoneticPr fontId="1" type="noConversion"/>
  </si>
  <si>
    <t>100 80 70 70 100</t>
    <phoneticPr fontId="1" type="noConversion"/>
  </si>
  <si>
    <t>35(IO) 50(IO) 35(IO)</t>
    <phoneticPr fontId="1" type="noConversion"/>
  </si>
  <si>
    <t>30 35 20</t>
    <phoneticPr fontId="1" type="noConversion"/>
  </si>
  <si>
    <t>992 995</t>
    <phoneticPr fontId="1" type="noConversion"/>
  </si>
  <si>
    <t>1000 995</t>
    <phoneticPr fontId="1" type="noConversion"/>
  </si>
  <si>
    <t>998 992 1002</t>
    <phoneticPr fontId="1" type="noConversion"/>
  </si>
  <si>
    <t>1002 978 978</t>
    <phoneticPr fontId="1" type="noConversion"/>
  </si>
  <si>
    <t>952 990</t>
    <phoneticPr fontId="1" type="noConversion"/>
  </si>
  <si>
    <t>990 970 982</t>
    <phoneticPr fontId="1" type="noConversion"/>
  </si>
  <si>
    <t>968 998 998 985 982</t>
    <phoneticPr fontId="1" type="noConversion"/>
  </si>
  <si>
    <t>1002 992</t>
    <phoneticPr fontId="1" type="noConversion"/>
  </si>
  <si>
    <t>1002 965</t>
    <phoneticPr fontId="1" type="noConversion"/>
  </si>
  <si>
    <t>998 998 995 992</t>
    <phoneticPr fontId="1" type="noConversion"/>
  </si>
  <si>
    <t>905 928 935</t>
    <phoneticPr fontId="1" type="noConversion"/>
  </si>
  <si>
    <t>985 988 990 968</t>
    <phoneticPr fontId="1" type="noConversion"/>
  </si>
  <si>
    <t>980 970</t>
    <phoneticPr fontId="1" type="noConversion"/>
  </si>
  <si>
    <t>992 1005</t>
    <phoneticPr fontId="1" type="noConversion"/>
  </si>
  <si>
    <t>955 962 968 970 945</t>
    <phoneticPr fontId="1" type="noConversion"/>
  </si>
  <si>
    <t>945 998</t>
    <phoneticPr fontId="1" type="noConversion"/>
  </si>
  <si>
    <t>1002 1000 1005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</si>
</sst>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7" tint="-0.249977111117893"/>
      <name val="等线"/>
      <family val="2"/>
      <scheme val="minor"/>
    </font>
    <font>
      <sz val="11"/>
      <color rgb="FFFFC000"/>
      <name val="等线"/>
      <family val="2"/>
      <scheme val="minor"/>
    </font>
    <font>
      <sz val="11"/>
      <color rgb="FF7030A0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198"/>
        <bgColor indexed="64"/>
      </patternFill>
    </fill>
    <fill>
      <patternFill patternType="solid">
        <fgColor rgb="FFFF538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2" fillId="12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2" fillId="16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</cellXfs>
  <cellStyles count="1">
    <cellStyle name="常规" xfId="0" builtinId="0"/>
  </cellStyles>
  <dxfs count="156">
    <dxf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CC3399"/>
        </patternFill>
      </fill>
    </dxf>
    <dxf>
      <fill>
        <patternFill>
          <bgColor rgb="FFC00000"/>
        </patternFill>
      </fill>
    </dxf>
    <dxf>
      <fill>
        <patternFill>
          <bgColor rgb="FFEE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00B050"/>
      </font>
    </dxf>
    <dxf>
      <font>
        <color rgb="FFFFC000"/>
      </font>
    </dxf>
    <dxf>
      <font>
        <color rgb="FF7030A0"/>
      </font>
    </dxf>
    <dxf>
      <fill>
        <patternFill>
          <bgColor rgb="FFEE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EE0000"/>
        </patternFill>
      </fill>
    </dxf>
    <dxf>
      <fill>
        <patternFill>
          <bgColor rgb="FFC00000"/>
        </patternFill>
      </fill>
    </dxf>
    <dxf>
      <fill>
        <patternFill>
          <bgColor rgb="FFCC0099"/>
        </patternFill>
      </fill>
    </dxf>
    <dxf>
      <fill>
        <patternFill>
          <bgColor theme="8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EE0000"/>
        </patternFill>
      </fill>
    </dxf>
    <dxf>
      <fill>
        <patternFill>
          <bgColor rgb="FFC00000"/>
        </patternFill>
      </fill>
    </dxf>
    <dxf>
      <fill>
        <patternFill>
          <bgColor rgb="FFFF0066"/>
        </patternFill>
      </fill>
    </dxf>
    <dxf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CC3399"/>
        </patternFill>
      </fill>
    </dxf>
    <dxf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CC0099"/>
        </patternFill>
      </fill>
    </dxf>
    <dxf>
      <fill>
        <patternFill>
          <bgColor rgb="FFFF3399"/>
        </patternFill>
      </fill>
    </dxf>
    <dxf>
      <fill>
        <patternFill>
          <bgColor rgb="FFC00000"/>
        </patternFill>
      </fill>
    </dxf>
    <dxf>
      <fill>
        <patternFill>
          <bgColor rgb="FFEE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CC3399"/>
        </patternFill>
      </fill>
    </dxf>
    <dxf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C00000"/>
        </patternFill>
      </fill>
    </dxf>
    <dxf>
      <fill>
        <patternFill>
          <bgColor rgb="FFEE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00B050"/>
      </font>
    </dxf>
    <dxf>
      <font>
        <color rgb="FFFFC000"/>
      </font>
    </dxf>
    <dxf>
      <font>
        <color rgb="FF7030A0"/>
      </font>
    </dxf>
    <dxf>
      <fill>
        <patternFill>
          <bgColor rgb="FFEE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EE0000"/>
        </patternFill>
      </fill>
    </dxf>
    <dxf>
      <fill>
        <patternFill>
          <bgColor rgb="FFC00000"/>
        </patternFill>
      </fill>
    </dxf>
    <dxf>
      <fill>
        <patternFill>
          <bgColor rgb="FFCC0099"/>
        </patternFill>
      </fill>
    </dxf>
    <dxf>
      <fill>
        <patternFill>
          <bgColor theme="8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EE0000"/>
        </patternFill>
      </fill>
    </dxf>
    <dxf>
      <fill>
        <patternFill>
          <bgColor rgb="FFC00000"/>
        </patternFill>
      </fill>
    </dxf>
    <dxf>
      <fill>
        <patternFill>
          <bgColor rgb="FFFF0066"/>
        </patternFill>
      </fill>
    </dxf>
    <dxf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CC3399"/>
        </patternFill>
      </fill>
    </dxf>
    <dxf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CC0099"/>
        </patternFill>
      </fill>
    </dxf>
    <dxf>
      <fill>
        <patternFill>
          <bgColor rgb="FFFF3399"/>
        </patternFill>
      </fill>
    </dxf>
    <dxf>
      <fill>
        <patternFill>
          <bgColor rgb="FFC00000"/>
        </patternFill>
      </fill>
    </dxf>
    <dxf>
      <fill>
        <patternFill>
          <bgColor rgb="FFEE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B050"/>
      </font>
    </dxf>
    <dxf>
      <font>
        <color rgb="FFFFC000"/>
      </font>
    </dxf>
    <dxf>
      <font>
        <color rgb="FF7030A0"/>
      </font>
    </dxf>
    <dxf>
      <fill>
        <patternFill>
          <bgColor rgb="FFEE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EE0000"/>
        </patternFill>
      </fill>
    </dxf>
    <dxf>
      <fill>
        <patternFill>
          <bgColor rgb="FFC00000"/>
        </patternFill>
      </fill>
    </dxf>
    <dxf>
      <fill>
        <patternFill>
          <bgColor rgb="FFCC0099"/>
        </patternFill>
      </fill>
    </dxf>
    <dxf>
      <fill>
        <patternFill>
          <bgColor theme="8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0" tint="-0.34998626667073579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EE0000"/>
        </patternFill>
      </fill>
    </dxf>
    <dxf>
      <fill>
        <patternFill>
          <bgColor rgb="FFC00000"/>
        </patternFill>
      </fill>
    </dxf>
    <dxf>
      <fill>
        <patternFill>
          <bgColor rgb="FFFF0066"/>
        </patternFill>
      </fill>
    </dxf>
    <dxf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CC3399"/>
        </patternFill>
      </fill>
    </dxf>
    <dxf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rgb="FFCC0099"/>
        </patternFill>
      </fill>
    </dxf>
    <dxf>
      <fill>
        <patternFill>
          <bgColor rgb="FFFF3399"/>
        </patternFill>
      </fill>
    </dxf>
    <dxf>
      <fill>
        <patternFill>
          <bgColor rgb="FFC00000"/>
        </patternFill>
      </fill>
    </dxf>
    <dxf>
      <fill>
        <patternFill>
          <bgColor rgb="FFEE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FFC000"/>
      </font>
    </dxf>
    <dxf>
      <font>
        <color rgb="FF7030A0"/>
      </font>
    </dxf>
    <dxf>
      <font>
        <color rgb="FF7030A0"/>
      </font>
    </dxf>
  </dxfs>
  <tableStyles count="0" defaultTableStyle="TableStyleMedium2" defaultPivotStyle="PivotStyleLight16"/>
  <colors>
    <mruColors>
      <color rgb="FFCC3399"/>
      <color rgb="FFFF0066"/>
      <color rgb="FFCC0099"/>
      <color rgb="FFFF3399"/>
      <color rgb="FFFF33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zoomScale="68" zoomScaleNormal="68" workbookViewId="0">
      <selection activeCell="L39" sqref="L39"/>
    </sheetView>
  </sheetViews>
  <sheetFormatPr defaultRowHeight="14.15" x14ac:dyDescent="0.35"/>
  <cols>
    <col min="1" max="1" width="20.640625" customWidth="1"/>
    <col min="2" max="5" width="7.640625" customWidth="1"/>
    <col min="9" max="9" width="20.640625" customWidth="1"/>
    <col min="10" max="10" width="25.640625" customWidth="1"/>
    <col min="11" max="11" width="20.5703125" customWidth="1"/>
    <col min="12" max="12" width="25.640625" customWidth="1"/>
  </cols>
  <sheetData>
    <row r="1" spans="1:15" x14ac:dyDescent="0.35">
      <c r="A1" s="1" t="s">
        <v>35</v>
      </c>
      <c r="B1" s="2" t="s">
        <v>0</v>
      </c>
      <c r="C1" s="2"/>
      <c r="D1" s="2" t="s">
        <v>1</v>
      </c>
      <c r="E1" s="2"/>
      <c r="F1" s="2" t="s">
        <v>2</v>
      </c>
      <c r="G1" s="2"/>
      <c r="H1" s="2"/>
      <c r="I1" s="2" t="s">
        <v>3</v>
      </c>
      <c r="J1" s="2"/>
      <c r="K1" s="2"/>
      <c r="L1" s="2"/>
      <c r="M1" s="2"/>
      <c r="N1" s="2"/>
      <c r="O1" s="2"/>
    </row>
    <row r="2" spans="1:15" x14ac:dyDescent="0.35">
      <c r="A2" s="1" t="s">
        <v>4</v>
      </c>
      <c r="B2" s="1" t="s">
        <v>5</v>
      </c>
      <c r="C2" s="3" t="s">
        <v>6</v>
      </c>
      <c r="D2" s="1" t="s">
        <v>5</v>
      </c>
      <c r="E2" s="3" t="s">
        <v>6</v>
      </c>
      <c r="F2" s="1" t="s">
        <v>5</v>
      </c>
      <c r="G2" s="3" t="s">
        <v>6</v>
      </c>
      <c r="H2" s="3" t="s">
        <v>7</v>
      </c>
      <c r="I2" s="1" t="s">
        <v>8</v>
      </c>
      <c r="J2" s="3" t="s">
        <v>9</v>
      </c>
      <c r="K2" s="1" t="s">
        <v>10</v>
      </c>
      <c r="L2" s="3" t="s">
        <v>11</v>
      </c>
      <c r="M2" s="3" t="s">
        <v>12</v>
      </c>
      <c r="N2" s="1" t="s">
        <v>13</v>
      </c>
      <c r="O2" s="1" t="s">
        <v>14</v>
      </c>
    </row>
    <row r="3" spans="1:15" x14ac:dyDescent="0.35">
      <c r="A3" s="4" t="s">
        <v>36</v>
      </c>
      <c r="B3" s="4">
        <v>35</v>
      </c>
      <c r="C3" s="3">
        <v>20</v>
      </c>
      <c r="D3" s="18">
        <v>1002</v>
      </c>
      <c r="E3" s="3">
        <v>1006</v>
      </c>
      <c r="F3" s="18">
        <v>1</v>
      </c>
      <c r="G3" s="3">
        <v>0</v>
      </c>
      <c r="H3" s="6">
        <f>SUM(F3,-G3)</f>
        <v>1</v>
      </c>
      <c r="I3" s="1">
        <v>35</v>
      </c>
      <c r="J3" s="3">
        <v>1002</v>
      </c>
      <c r="K3" s="1"/>
      <c r="L3" s="3"/>
      <c r="M3" s="7" t="s">
        <v>15</v>
      </c>
      <c r="N3" s="1" t="s">
        <v>76</v>
      </c>
      <c r="O3" s="5">
        <v>40</v>
      </c>
    </row>
    <row r="4" spans="1:15" x14ac:dyDescent="0.35">
      <c r="A4" s="15" t="s">
        <v>37</v>
      </c>
      <c r="B4" s="4">
        <v>30</v>
      </c>
      <c r="C4" s="3">
        <v>20</v>
      </c>
      <c r="D4" s="18" t="s">
        <v>73</v>
      </c>
      <c r="E4" s="3">
        <v>1005</v>
      </c>
      <c r="F4" s="18">
        <v>0</v>
      </c>
      <c r="G4" s="3">
        <v>0</v>
      </c>
      <c r="H4" s="6">
        <f t="shared" ref="H4:H40" si="0">SUM(F4,-G4)</f>
        <v>0</v>
      </c>
      <c r="I4" s="1" t="s">
        <v>127</v>
      </c>
      <c r="J4" s="3" t="s">
        <v>128</v>
      </c>
      <c r="K4" s="1"/>
      <c r="L4" s="3"/>
      <c r="M4" s="7" t="s">
        <v>21</v>
      </c>
      <c r="N4" s="1" t="s">
        <v>27</v>
      </c>
      <c r="O4" s="5">
        <v>0</v>
      </c>
    </row>
    <row r="5" spans="1:15" x14ac:dyDescent="0.35">
      <c r="A5" s="6" t="s">
        <v>38</v>
      </c>
      <c r="B5" s="5">
        <v>70</v>
      </c>
      <c r="C5" s="3">
        <v>65</v>
      </c>
      <c r="D5" s="18">
        <v>978</v>
      </c>
      <c r="E5" s="3">
        <v>977</v>
      </c>
      <c r="F5" s="18">
        <v>4.9249999999999998</v>
      </c>
      <c r="G5" s="3">
        <v>3.83</v>
      </c>
      <c r="H5" s="6">
        <f t="shared" si="0"/>
        <v>1.0949999999999998</v>
      </c>
      <c r="I5" s="1" t="s">
        <v>91</v>
      </c>
      <c r="J5" s="3" t="s">
        <v>92</v>
      </c>
      <c r="K5" s="1" t="s">
        <v>130</v>
      </c>
      <c r="L5" s="3" t="s">
        <v>151</v>
      </c>
      <c r="M5" s="7" t="s">
        <v>15</v>
      </c>
      <c r="N5" s="1" t="s">
        <v>25</v>
      </c>
      <c r="O5" s="4">
        <v>1676</v>
      </c>
    </row>
    <row r="6" spans="1:15" x14ac:dyDescent="0.35">
      <c r="A6" s="4" t="s">
        <v>39</v>
      </c>
      <c r="B6" s="4">
        <v>45</v>
      </c>
      <c r="C6" s="3">
        <v>40</v>
      </c>
      <c r="D6" s="18">
        <v>1002</v>
      </c>
      <c r="E6" s="3">
        <v>1000</v>
      </c>
      <c r="F6" s="18">
        <v>1.6575</v>
      </c>
      <c r="G6" s="3">
        <v>0.89500000000000002</v>
      </c>
      <c r="H6" s="6">
        <f t="shared" si="0"/>
        <v>0.76249999999999996</v>
      </c>
      <c r="I6" s="1">
        <v>45</v>
      </c>
      <c r="J6" s="3">
        <v>1002</v>
      </c>
      <c r="K6" s="1"/>
      <c r="L6" s="3"/>
      <c r="M6" s="7" t="s">
        <v>15</v>
      </c>
      <c r="N6" s="1" t="s">
        <v>24</v>
      </c>
      <c r="O6" s="6">
        <v>1375</v>
      </c>
    </row>
    <row r="7" spans="1:15" x14ac:dyDescent="0.35">
      <c r="A7" s="4" t="s">
        <v>40</v>
      </c>
      <c r="B7" s="4">
        <v>45</v>
      </c>
      <c r="C7" s="3">
        <v>25</v>
      </c>
      <c r="D7" s="18">
        <v>992</v>
      </c>
      <c r="E7" s="3">
        <v>1002</v>
      </c>
      <c r="F7" s="18">
        <v>0.76749999999999996</v>
      </c>
      <c r="G7" s="3">
        <v>0</v>
      </c>
      <c r="H7" s="6">
        <f t="shared" si="0"/>
        <v>0.76749999999999996</v>
      </c>
      <c r="I7" s="1">
        <v>45</v>
      </c>
      <c r="J7" s="3">
        <v>992</v>
      </c>
      <c r="K7" s="1" t="s">
        <v>131</v>
      </c>
      <c r="L7" s="3" t="s">
        <v>148</v>
      </c>
      <c r="M7" s="8" t="s">
        <v>18</v>
      </c>
      <c r="N7" s="1" t="s">
        <v>17</v>
      </c>
      <c r="O7" s="4">
        <v>459</v>
      </c>
    </row>
    <row r="8" spans="1:15" x14ac:dyDescent="0.35">
      <c r="A8" s="11" t="s">
        <v>41</v>
      </c>
      <c r="B8" s="6">
        <v>105</v>
      </c>
      <c r="C8" s="3">
        <v>100</v>
      </c>
      <c r="D8" s="18">
        <v>950</v>
      </c>
      <c r="E8" s="3">
        <v>950</v>
      </c>
      <c r="F8" s="18">
        <v>6.7275</v>
      </c>
      <c r="G8" s="3">
        <v>5.4024999999999999</v>
      </c>
      <c r="H8" s="6">
        <f t="shared" si="0"/>
        <v>1.3250000000000002</v>
      </c>
      <c r="I8" s="1" t="s">
        <v>19</v>
      </c>
      <c r="J8" s="3" t="s">
        <v>20</v>
      </c>
      <c r="K8" s="1" t="s">
        <v>132</v>
      </c>
      <c r="L8" s="3" t="s">
        <v>152</v>
      </c>
      <c r="M8" s="10" t="s">
        <v>21</v>
      </c>
      <c r="N8" s="1" t="s">
        <v>77</v>
      </c>
      <c r="O8" s="11">
        <v>1420</v>
      </c>
    </row>
    <row r="9" spans="1:15" x14ac:dyDescent="0.35">
      <c r="A9" s="6" t="s">
        <v>42</v>
      </c>
      <c r="B9" s="12">
        <v>65</v>
      </c>
      <c r="C9" s="3">
        <v>60</v>
      </c>
      <c r="D9" s="18">
        <v>980</v>
      </c>
      <c r="E9" s="3">
        <v>982</v>
      </c>
      <c r="F9" s="18">
        <v>7.41</v>
      </c>
      <c r="G9" s="3">
        <v>4.8274999999999997</v>
      </c>
      <c r="H9" s="9">
        <f t="shared" si="0"/>
        <v>2.5825000000000005</v>
      </c>
      <c r="I9" s="1" t="s">
        <v>93</v>
      </c>
      <c r="J9" s="3" t="s">
        <v>94</v>
      </c>
      <c r="K9" s="1"/>
      <c r="L9" s="3"/>
      <c r="M9" s="8" t="s">
        <v>18</v>
      </c>
      <c r="N9" s="1" t="s">
        <v>78</v>
      </c>
      <c r="O9" s="6">
        <v>2264</v>
      </c>
    </row>
    <row r="10" spans="1:15" x14ac:dyDescent="0.35">
      <c r="A10" s="6" t="s">
        <v>43</v>
      </c>
      <c r="B10" s="5">
        <v>65</v>
      </c>
      <c r="C10" s="3">
        <v>55</v>
      </c>
      <c r="D10" s="18">
        <v>985</v>
      </c>
      <c r="E10" s="3">
        <v>983</v>
      </c>
      <c r="F10" s="18">
        <v>2.7025000000000001</v>
      </c>
      <c r="G10" s="3">
        <v>2.1349999999999998</v>
      </c>
      <c r="H10" s="6">
        <f t="shared" si="0"/>
        <v>0.56750000000000034</v>
      </c>
      <c r="I10" s="1">
        <v>65</v>
      </c>
      <c r="J10" s="3">
        <v>985</v>
      </c>
      <c r="K10" s="1" t="s">
        <v>134</v>
      </c>
      <c r="L10" s="3">
        <v>992</v>
      </c>
      <c r="M10" s="7" t="s">
        <v>15</v>
      </c>
      <c r="N10" s="1" t="s">
        <v>79</v>
      </c>
      <c r="O10" s="5">
        <v>1522</v>
      </c>
    </row>
    <row r="11" spans="1:15" x14ac:dyDescent="0.35">
      <c r="A11" s="20" t="s">
        <v>44</v>
      </c>
      <c r="B11" s="11" t="s">
        <v>74</v>
      </c>
      <c r="C11" s="3">
        <v>25</v>
      </c>
      <c r="D11" s="18" t="s">
        <v>73</v>
      </c>
      <c r="E11" s="3">
        <v>992</v>
      </c>
      <c r="F11" s="18">
        <v>0</v>
      </c>
      <c r="G11" s="3">
        <v>0</v>
      </c>
      <c r="H11" s="11">
        <f>SUM(F11,-G11)</f>
        <v>0</v>
      </c>
      <c r="I11" s="1" t="s">
        <v>87</v>
      </c>
      <c r="J11" s="3" t="s">
        <v>88</v>
      </c>
      <c r="K11" s="1" t="s">
        <v>133</v>
      </c>
      <c r="L11" s="3">
        <v>995</v>
      </c>
      <c r="M11" s="7" t="s">
        <v>15</v>
      </c>
      <c r="N11" s="1" t="s">
        <v>27</v>
      </c>
      <c r="O11" s="9">
        <v>0</v>
      </c>
    </row>
    <row r="12" spans="1:15" x14ac:dyDescent="0.35">
      <c r="A12" s="5" t="s">
        <v>45</v>
      </c>
      <c r="B12" s="4">
        <v>55</v>
      </c>
      <c r="C12" s="3">
        <v>45</v>
      </c>
      <c r="D12" s="18">
        <v>1000</v>
      </c>
      <c r="E12" s="3">
        <v>1002</v>
      </c>
      <c r="F12" s="18">
        <v>0.78749999999999998</v>
      </c>
      <c r="G12" s="3">
        <v>0.52749999999999997</v>
      </c>
      <c r="H12" s="6">
        <f t="shared" si="0"/>
        <v>0.26</v>
      </c>
      <c r="I12" s="1">
        <v>55</v>
      </c>
      <c r="J12" s="3">
        <v>1000</v>
      </c>
      <c r="K12" s="1">
        <v>30</v>
      </c>
      <c r="L12" s="3">
        <v>1005</v>
      </c>
      <c r="M12" s="7" t="s">
        <v>15</v>
      </c>
      <c r="N12" s="1" t="s">
        <v>32</v>
      </c>
      <c r="O12" s="5">
        <v>1194</v>
      </c>
    </row>
    <row r="13" spans="1:15" x14ac:dyDescent="0.35">
      <c r="A13" s="6" t="s">
        <v>46</v>
      </c>
      <c r="B13" s="13">
        <v>80</v>
      </c>
      <c r="C13" s="3">
        <v>65</v>
      </c>
      <c r="D13" s="18">
        <v>965</v>
      </c>
      <c r="E13" s="3">
        <v>970</v>
      </c>
      <c r="F13" s="18">
        <v>6.28</v>
      </c>
      <c r="G13" s="3">
        <v>4.1749999999999998</v>
      </c>
      <c r="H13" s="11">
        <f t="shared" si="0"/>
        <v>2.1050000000000004</v>
      </c>
      <c r="I13" s="1" t="s">
        <v>95</v>
      </c>
      <c r="J13" s="3" t="s">
        <v>96</v>
      </c>
      <c r="K13" s="1" t="s">
        <v>135</v>
      </c>
      <c r="L13" s="3" t="s">
        <v>153</v>
      </c>
      <c r="M13" s="10" t="s">
        <v>15</v>
      </c>
      <c r="N13" s="1" t="s">
        <v>29</v>
      </c>
      <c r="O13" s="13">
        <v>2171</v>
      </c>
    </row>
    <row r="14" spans="1:15" x14ac:dyDescent="0.35">
      <c r="A14" s="4" t="s">
        <v>47</v>
      </c>
      <c r="B14" s="12">
        <v>45</v>
      </c>
      <c r="C14" s="3">
        <v>40</v>
      </c>
      <c r="D14" s="18">
        <v>990</v>
      </c>
      <c r="E14" s="3">
        <v>987</v>
      </c>
      <c r="F14" s="18">
        <v>1.4175</v>
      </c>
      <c r="G14" s="3">
        <v>1.1675</v>
      </c>
      <c r="H14" s="9">
        <f t="shared" si="0"/>
        <v>0.25</v>
      </c>
      <c r="I14" s="1">
        <v>45</v>
      </c>
      <c r="J14" s="3">
        <v>990</v>
      </c>
      <c r="K14" s="1">
        <v>25</v>
      </c>
      <c r="L14" s="3">
        <v>998</v>
      </c>
      <c r="M14" s="7" t="s">
        <v>15</v>
      </c>
      <c r="N14" s="1" t="s">
        <v>24</v>
      </c>
      <c r="O14" s="6">
        <v>1066</v>
      </c>
    </row>
    <row r="15" spans="1:15" x14ac:dyDescent="0.35">
      <c r="A15" s="9" t="s">
        <v>48</v>
      </c>
      <c r="B15" s="4">
        <v>90</v>
      </c>
      <c r="C15" s="3">
        <v>70</v>
      </c>
      <c r="D15" s="18">
        <v>965</v>
      </c>
      <c r="E15" s="3">
        <v>975</v>
      </c>
      <c r="F15" s="18">
        <v>7.4524999999999997</v>
      </c>
      <c r="G15" s="3">
        <v>4.6775000000000002</v>
      </c>
      <c r="H15" s="6">
        <f t="shared" si="0"/>
        <v>2.7749999999999995</v>
      </c>
      <c r="I15" s="1" t="s">
        <v>97</v>
      </c>
      <c r="J15" s="3" t="s">
        <v>98</v>
      </c>
      <c r="K15" s="1" t="s">
        <v>136</v>
      </c>
      <c r="L15" s="3" t="s">
        <v>154</v>
      </c>
      <c r="M15" s="7" t="s">
        <v>15</v>
      </c>
      <c r="N15" s="1" t="s">
        <v>23</v>
      </c>
      <c r="O15" s="4">
        <v>2344</v>
      </c>
    </row>
    <row r="16" spans="1:15" x14ac:dyDescent="0.35">
      <c r="A16" s="9" t="s">
        <v>49</v>
      </c>
      <c r="B16" s="5">
        <v>90</v>
      </c>
      <c r="C16" s="3">
        <v>80</v>
      </c>
      <c r="D16" s="18">
        <v>962</v>
      </c>
      <c r="E16" s="3">
        <v>962</v>
      </c>
      <c r="F16" s="18">
        <v>15.6</v>
      </c>
      <c r="G16" s="3">
        <v>11.817500000000001</v>
      </c>
      <c r="H16" s="6">
        <f t="shared" si="0"/>
        <v>3.7824999999999989</v>
      </c>
      <c r="I16" s="1" t="s">
        <v>99</v>
      </c>
      <c r="J16" s="3" t="s">
        <v>100</v>
      </c>
      <c r="K16" s="1"/>
      <c r="L16" s="3"/>
      <c r="M16" s="7" t="s">
        <v>18</v>
      </c>
      <c r="N16" s="1" t="s">
        <v>80</v>
      </c>
      <c r="O16" s="5">
        <v>4841</v>
      </c>
    </row>
    <row r="17" spans="1:15" x14ac:dyDescent="0.35">
      <c r="A17" s="4" t="s">
        <v>50</v>
      </c>
      <c r="B17" s="9">
        <v>45</v>
      </c>
      <c r="C17" s="3">
        <v>35</v>
      </c>
      <c r="D17" s="18">
        <v>995</v>
      </c>
      <c r="E17" s="3">
        <v>998</v>
      </c>
      <c r="F17" s="18">
        <v>1.7749999999999999</v>
      </c>
      <c r="G17" s="3">
        <v>0.36749999999999999</v>
      </c>
      <c r="H17" s="6">
        <f t="shared" si="0"/>
        <v>1.4075</v>
      </c>
      <c r="I17" s="1">
        <v>45</v>
      </c>
      <c r="J17" s="3">
        <v>995</v>
      </c>
      <c r="K17" s="1"/>
      <c r="L17" s="3"/>
      <c r="M17" s="7" t="s">
        <v>15</v>
      </c>
      <c r="N17" s="1" t="s">
        <v>28</v>
      </c>
      <c r="O17" s="9">
        <v>2138</v>
      </c>
    </row>
    <row r="18" spans="1:15" x14ac:dyDescent="0.35">
      <c r="A18" s="15" t="s">
        <v>51</v>
      </c>
      <c r="B18" s="5">
        <v>25</v>
      </c>
      <c r="C18" s="3">
        <v>25</v>
      </c>
      <c r="D18" s="18">
        <v>1002</v>
      </c>
      <c r="E18" s="3">
        <v>1007</v>
      </c>
      <c r="F18" s="18">
        <v>0</v>
      </c>
      <c r="G18" s="3">
        <v>0</v>
      </c>
      <c r="H18" s="9">
        <f t="shared" si="0"/>
        <v>0</v>
      </c>
      <c r="I18" s="1">
        <v>25</v>
      </c>
      <c r="J18" s="3">
        <v>1002</v>
      </c>
      <c r="K18" s="1"/>
      <c r="L18" s="3"/>
      <c r="M18" s="8" t="s">
        <v>15</v>
      </c>
      <c r="N18" s="1" t="s">
        <v>27</v>
      </c>
      <c r="O18" s="6">
        <v>0</v>
      </c>
    </row>
    <row r="19" spans="1:15" x14ac:dyDescent="0.35">
      <c r="A19" s="15" t="s">
        <v>52</v>
      </c>
      <c r="B19" s="14">
        <v>25</v>
      </c>
      <c r="C19" s="3">
        <v>25</v>
      </c>
      <c r="D19" s="18">
        <v>998</v>
      </c>
      <c r="E19" s="3">
        <v>991</v>
      </c>
      <c r="F19" s="18">
        <v>0</v>
      </c>
      <c r="G19" s="3">
        <v>0</v>
      </c>
      <c r="H19" s="9">
        <f t="shared" si="0"/>
        <v>0</v>
      </c>
      <c r="I19" s="1">
        <v>25</v>
      </c>
      <c r="J19" s="3">
        <v>998</v>
      </c>
      <c r="K19" s="1"/>
      <c r="L19" s="3"/>
      <c r="M19" s="7" t="s">
        <v>15</v>
      </c>
      <c r="N19" s="1" t="s">
        <v>27</v>
      </c>
      <c r="O19" s="12">
        <v>0</v>
      </c>
    </row>
    <row r="20" spans="1:15" x14ac:dyDescent="0.35">
      <c r="A20" s="9" t="s">
        <v>53</v>
      </c>
      <c r="B20" s="4">
        <v>95</v>
      </c>
      <c r="C20" s="3">
        <v>95</v>
      </c>
      <c r="D20" s="18">
        <v>965</v>
      </c>
      <c r="E20" s="3">
        <v>966</v>
      </c>
      <c r="F20" s="18">
        <v>9.5975000000000001</v>
      </c>
      <c r="G20" s="3">
        <v>8.76</v>
      </c>
      <c r="H20" s="6">
        <f t="shared" si="0"/>
        <v>0.83750000000000036</v>
      </c>
      <c r="I20" s="1" t="s">
        <v>101</v>
      </c>
      <c r="J20" s="3" t="s">
        <v>102</v>
      </c>
      <c r="K20" s="1" t="s">
        <v>137</v>
      </c>
      <c r="L20" s="3" t="s">
        <v>96</v>
      </c>
      <c r="M20" s="8" t="s">
        <v>21</v>
      </c>
      <c r="N20" s="1" t="s">
        <v>78</v>
      </c>
      <c r="O20" s="4">
        <v>3342</v>
      </c>
    </row>
    <row r="21" spans="1:15" x14ac:dyDescent="0.35">
      <c r="A21" s="4" t="s">
        <v>54</v>
      </c>
      <c r="B21" s="4">
        <v>40</v>
      </c>
      <c r="C21" s="3">
        <v>30</v>
      </c>
      <c r="D21" s="18">
        <v>995</v>
      </c>
      <c r="E21" s="3">
        <v>1000</v>
      </c>
      <c r="F21" s="18">
        <v>0.52749999999999997</v>
      </c>
      <c r="G21" s="3">
        <v>0</v>
      </c>
      <c r="H21" s="6">
        <f t="shared" si="0"/>
        <v>0.52749999999999997</v>
      </c>
      <c r="I21" s="1">
        <v>40</v>
      </c>
      <c r="J21" s="3">
        <v>995</v>
      </c>
      <c r="K21" s="1" t="s">
        <v>138</v>
      </c>
      <c r="L21" s="3" t="s">
        <v>149</v>
      </c>
      <c r="M21" s="7" t="s">
        <v>15</v>
      </c>
      <c r="N21" s="1" t="s">
        <v>32</v>
      </c>
      <c r="O21" s="4">
        <v>271</v>
      </c>
    </row>
    <row r="22" spans="1:15" x14ac:dyDescent="0.35">
      <c r="A22" s="5" t="s">
        <v>55</v>
      </c>
      <c r="B22" s="5">
        <v>50</v>
      </c>
      <c r="C22" s="3">
        <v>45</v>
      </c>
      <c r="D22" s="18">
        <v>992</v>
      </c>
      <c r="E22" s="3">
        <v>992</v>
      </c>
      <c r="F22" s="18">
        <v>1.47</v>
      </c>
      <c r="G22" s="3">
        <v>0.6875</v>
      </c>
      <c r="H22" s="6">
        <f t="shared" si="0"/>
        <v>0.78249999999999997</v>
      </c>
      <c r="I22" s="1">
        <v>50</v>
      </c>
      <c r="J22" s="3">
        <v>992</v>
      </c>
      <c r="K22" s="1" t="s">
        <v>139</v>
      </c>
      <c r="L22" s="3" t="s">
        <v>155</v>
      </c>
      <c r="M22" s="7" t="s">
        <v>15</v>
      </c>
      <c r="N22" s="1" t="s">
        <v>81</v>
      </c>
      <c r="O22" s="5">
        <v>577</v>
      </c>
    </row>
    <row r="23" spans="1:15" x14ac:dyDescent="0.35">
      <c r="A23" s="11" t="s">
        <v>56</v>
      </c>
      <c r="B23" s="4">
        <v>110</v>
      </c>
      <c r="C23" s="3">
        <v>95</v>
      </c>
      <c r="D23" s="18">
        <v>955</v>
      </c>
      <c r="E23" s="3">
        <v>964</v>
      </c>
      <c r="F23" s="18">
        <v>7.64</v>
      </c>
      <c r="G23" s="3">
        <v>6.5674999999999999</v>
      </c>
      <c r="H23" s="6">
        <f t="shared" si="0"/>
        <v>1.0724999999999998</v>
      </c>
      <c r="I23" s="1" t="s">
        <v>103</v>
      </c>
      <c r="J23" s="3" t="s">
        <v>104</v>
      </c>
      <c r="K23" s="1" t="s">
        <v>140</v>
      </c>
      <c r="L23" s="3" t="s">
        <v>156</v>
      </c>
      <c r="M23" s="7" t="s">
        <v>15</v>
      </c>
      <c r="N23" s="1" t="s">
        <v>82</v>
      </c>
      <c r="O23" s="11">
        <v>1525</v>
      </c>
    </row>
    <row r="24" spans="1:15" x14ac:dyDescent="0.35">
      <c r="A24" s="4" t="s">
        <v>57</v>
      </c>
      <c r="B24" s="6">
        <v>45</v>
      </c>
      <c r="C24" s="3">
        <v>40</v>
      </c>
      <c r="D24" s="18">
        <v>995</v>
      </c>
      <c r="E24" s="3">
        <v>997</v>
      </c>
      <c r="F24" s="18">
        <v>0.89</v>
      </c>
      <c r="G24" s="3">
        <v>0.28249999999999997</v>
      </c>
      <c r="H24" s="6">
        <f t="shared" si="0"/>
        <v>0.60750000000000004</v>
      </c>
      <c r="I24" s="1">
        <v>45</v>
      </c>
      <c r="J24" s="3">
        <v>995</v>
      </c>
      <c r="K24" s="1">
        <v>40</v>
      </c>
      <c r="L24" s="3">
        <v>998</v>
      </c>
      <c r="M24" s="7" t="s">
        <v>18</v>
      </c>
      <c r="N24" s="1" t="s">
        <v>22</v>
      </c>
      <c r="O24" s="9">
        <v>657</v>
      </c>
    </row>
    <row r="25" spans="1:15" x14ac:dyDescent="0.35">
      <c r="A25" s="5" t="s">
        <v>59</v>
      </c>
      <c r="B25" s="6">
        <v>60</v>
      </c>
      <c r="C25" s="3">
        <v>50</v>
      </c>
      <c r="D25" s="18">
        <v>980</v>
      </c>
      <c r="E25" s="3">
        <v>990</v>
      </c>
      <c r="F25" s="18">
        <v>3.1549999999999998</v>
      </c>
      <c r="G25" s="3">
        <v>0.98</v>
      </c>
      <c r="H25" s="6">
        <f t="shared" si="0"/>
        <v>2.1749999999999998</v>
      </c>
      <c r="I25" s="1" t="s">
        <v>105</v>
      </c>
      <c r="J25" s="3" t="s">
        <v>106</v>
      </c>
      <c r="K25" s="1" t="s">
        <v>141</v>
      </c>
      <c r="L25" s="3" t="s">
        <v>157</v>
      </c>
      <c r="M25" s="8" t="s">
        <v>18</v>
      </c>
      <c r="N25" s="1" t="s">
        <v>31</v>
      </c>
      <c r="O25" s="9">
        <v>2962</v>
      </c>
    </row>
    <row r="26" spans="1:15" x14ac:dyDescent="0.35">
      <c r="A26" s="6" t="s">
        <v>58</v>
      </c>
      <c r="B26" s="4">
        <v>65</v>
      </c>
      <c r="C26" s="3">
        <v>65</v>
      </c>
      <c r="D26" s="18">
        <v>980</v>
      </c>
      <c r="E26" s="3">
        <v>983</v>
      </c>
      <c r="F26" s="18">
        <v>3.0125000000000002</v>
      </c>
      <c r="G26" s="3">
        <v>2.4950000000000001</v>
      </c>
      <c r="H26" s="6">
        <f t="shared" si="0"/>
        <v>0.51750000000000007</v>
      </c>
      <c r="I26" s="1">
        <v>65</v>
      </c>
      <c r="J26" s="3">
        <v>980</v>
      </c>
      <c r="K26" s="1">
        <v>65</v>
      </c>
      <c r="L26" s="3">
        <v>980</v>
      </c>
      <c r="M26" s="7" t="s">
        <v>15</v>
      </c>
      <c r="N26" s="1" t="s">
        <v>79</v>
      </c>
      <c r="O26" s="4">
        <v>1025</v>
      </c>
    </row>
    <row r="27" spans="1:15" x14ac:dyDescent="0.35">
      <c r="A27" s="5" t="s">
        <v>60</v>
      </c>
      <c r="B27" s="4">
        <v>60</v>
      </c>
      <c r="C27" s="3">
        <v>45</v>
      </c>
      <c r="D27" s="18">
        <v>990</v>
      </c>
      <c r="E27" s="3">
        <v>994</v>
      </c>
      <c r="F27" s="18">
        <v>2.2450000000000001</v>
      </c>
      <c r="G27" s="3">
        <v>0.80500000000000005</v>
      </c>
      <c r="H27" s="6">
        <f t="shared" si="0"/>
        <v>1.44</v>
      </c>
      <c r="I27" s="1" t="s">
        <v>107</v>
      </c>
      <c r="J27" s="3" t="s">
        <v>108</v>
      </c>
      <c r="K27" s="1" t="s">
        <v>107</v>
      </c>
      <c r="L27" s="3" t="s">
        <v>108</v>
      </c>
      <c r="M27" s="7" t="s">
        <v>15</v>
      </c>
      <c r="N27" s="1" t="s">
        <v>16</v>
      </c>
      <c r="O27" s="5">
        <v>718</v>
      </c>
    </row>
    <row r="28" spans="1:15" x14ac:dyDescent="0.35">
      <c r="A28" s="16" t="s">
        <v>61</v>
      </c>
      <c r="B28" s="11">
        <v>155</v>
      </c>
      <c r="C28" s="3">
        <v>145</v>
      </c>
      <c r="D28" s="18">
        <v>890</v>
      </c>
      <c r="E28" s="3">
        <v>910</v>
      </c>
      <c r="F28" s="18">
        <v>30.82</v>
      </c>
      <c r="G28" s="3">
        <v>28.8475</v>
      </c>
      <c r="H28" s="6">
        <f t="shared" si="0"/>
        <v>1.9725000000000001</v>
      </c>
      <c r="I28" s="1" t="s">
        <v>109</v>
      </c>
      <c r="J28" s="3" t="s">
        <v>110</v>
      </c>
      <c r="K28" s="1" t="s">
        <v>142</v>
      </c>
      <c r="L28" s="3" t="s">
        <v>158</v>
      </c>
      <c r="M28" s="8" t="s">
        <v>21</v>
      </c>
      <c r="N28" s="1" t="s">
        <v>23</v>
      </c>
      <c r="O28" s="9">
        <v>2576</v>
      </c>
    </row>
    <row r="29" spans="1:15" x14ac:dyDescent="0.35">
      <c r="A29" s="22" t="s">
        <v>62</v>
      </c>
      <c r="B29" s="9">
        <v>140</v>
      </c>
      <c r="C29" s="3">
        <v>125</v>
      </c>
      <c r="D29" s="18">
        <v>922</v>
      </c>
      <c r="E29" s="3">
        <v>936</v>
      </c>
      <c r="F29" s="18">
        <v>32.372500000000002</v>
      </c>
      <c r="G29" s="3">
        <v>28.6875</v>
      </c>
      <c r="H29" s="9">
        <f t="shared" si="0"/>
        <v>3.6850000000000023</v>
      </c>
      <c r="I29" s="1" t="s">
        <v>111</v>
      </c>
      <c r="J29" s="3" t="s">
        <v>112</v>
      </c>
      <c r="K29" s="1"/>
      <c r="L29" s="3"/>
      <c r="M29" s="7" t="s">
        <v>21</v>
      </c>
      <c r="N29" s="1" t="s">
        <v>80</v>
      </c>
      <c r="O29" s="6">
        <v>4917</v>
      </c>
    </row>
    <row r="30" spans="1:15" x14ac:dyDescent="0.35">
      <c r="A30" s="9" t="s">
        <v>63</v>
      </c>
      <c r="B30" s="12">
        <v>90</v>
      </c>
      <c r="C30" s="3">
        <v>85</v>
      </c>
      <c r="D30" s="18">
        <v>968</v>
      </c>
      <c r="E30" s="3">
        <v>967</v>
      </c>
      <c r="F30" s="18">
        <v>9.9625000000000004</v>
      </c>
      <c r="G30" s="3">
        <v>8.6024999999999991</v>
      </c>
      <c r="H30" s="9">
        <f t="shared" si="0"/>
        <v>1.3600000000000012</v>
      </c>
      <c r="I30" s="1" t="s">
        <v>113</v>
      </c>
      <c r="J30" s="3" t="s">
        <v>114</v>
      </c>
      <c r="K30" s="1" t="s">
        <v>143</v>
      </c>
      <c r="L30" s="3" t="s">
        <v>159</v>
      </c>
      <c r="M30" s="7" t="s">
        <v>18</v>
      </c>
      <c r="N30" s="1" t="s">
        <v>30</v>
      </c>
      <c r="O30" s="12">
        <v>3497</v>
      </c>
    </row>
    <row r="31" spans="1:15" x14ac:dyDescent="0.35">
      <c r="A31" s="11" t="s">
        <v>64</v>
      </c>
      <c r="B31" s="14">
        <v>100</v>
      </c>
      <c r="C31" s="3">
        <v>90</v>
      </c>
      <c r="D31" s="18">
        <v>970</v>
      </c>
      <c r="E31" s="3">
        <v>965</v>
      </c>
      <c r="F31" s="18">
        <v>7.7424999999999997</v>
      </c>
      <c r="G31" s="3">
        <v>7.4850000000000003</v>
      </c>
      <c r="H31" s="15">
        <f t="shared" si="0"/>
        <v>0.2574999999999994</v>
      </c>
      <c r="I31" s="1" t="s">
        <v>115</v>
      </c>
      <c r="J31" s="3" t="s">
        <v>116</v>
      </c>
      <c r="K31" s="1" t="s">
        <v>101</v>
      </c>
      <c r="L31" s="3" t="s">
        <v>160</v>
      </c>
      <c r="M31" s="10" t="s">
        <v>15</v>
      </c>
      <c r="N31" s="1" t="s">
        <v>29</v>
      </c>
      <c r="O31" s="11">
        <v>2483</v>
      </c>
    </row>
    <row r="32" spans="1:15" x14ac:dyDescent="0.35">
      <c r="A32" s="21" t="s">
        <v>65</v>
      </c>
      <c r="B32" s="6">
        <v>130</v>
      </c>
      <c r="C32" s="3">
        <v>120</v>
      </c>
      <c r="D32" s="18">
        <v>928</v>
      </c>
      <c r="E32" s="3">
        <v>935</v>
      </c>
      <c r="F32" s="18">
        <v>20.3</v>
      </c>
      <c r="G32" s="3">
        <v>17.375</v>
      </c>
      <c r="H32" s="6">
        <f t="shared" si="0"/>
        <v>2.9250000000000007</v>
      </c>
      <c r="I32" s="1" t="s">
        <v>117</v>
      </c>
      <c r="J32" s="3" t="s">
        <v>118</v>
      </c>
      <c r="K32" s="1"/>
      <c r="L32" s="3"/>
      <c r="M32" s="8" t="s">
        <v>21</v>
      </c>
      <c r="N32" s="1" t="s">
        <v>23</v>
      </c>
      <c r="O32" s="9">
        <v>3859</v>
      </c>
    </row>
    <row r="33" spans="1:15" x14ac:dyDescent="0.35">
      <c r="A33" s="9" t="s">
        <v>66</v>
      </c>
      <c r="B33" s="5">
        <v>95</v>
      </c>
      <c r="C33" s="3">
        <v>80</v>
      </c>
      <c r="D33" s="18">
        <v>962</v>
      </c>
      <c r="E33" s="3">
        <v>974</v>
      </c>
      <c r="F33" s="18">
        <v>9.9849999999999994</v>
      </c>
      <c r="G33" s="3">
        <v>8.0350000000000001</v>
      </c>
      <c r="H33" s="6">
        <f t="shared" si="0"/>
        <v>1.9499999999999993</v>
      </c>
      <c r="I33" s="1">
        <v>95</v>
      </c>
      <c r="J33" s="3">
        <v>962</v>
      </c>
      <c r="K33" s="1"/>
      <c r="L33" s="3"/>
      <c r="M33" s="7" t="s">
        <v>15</v>
      </c>
      <c r="N33" s="1" t="s">
        <v>83</v>
      </c>
      <c r="O33" s="6">
        <v>4308</v>
      </c>
    </row>
    <row r="34" spans="1:15" x14ac:dyDescent="0.35">
      <c r="A34" s="6" t="s">
        <v>67</v>
      </c>
      <c r="B34" s="4">
        <v>75</v>
      </c>
      <c r="C34" s="3">
        <v>50</v>
      </c>
      <c r="D34" s="18">
        <v>975</v>
      </c>
      <c r="E34" s="3">
        <v>988</v>
      </c>
      <c r="F34" s="18">
        <v>5.2249999999999996</v>
      </c>
      <c r="G34" s="3">
        <v>2.8174999999999999</v>
      </c>
      <c r="H34" s="6">
        <f t="shared" si="0"/>
        <v>2.4074999999999998</v>
      </c>
      <c r="I34" s="1" t="s">
        <v>119</v>
      </c>
      <c r="J34" s="3" t="s">
        <v>120</v>
      </c>
      <c r="K34" s="1" t="s">
        <v>144</v>
      </c>
      <c r="L34" s="3" t="s">
        <v>161</v>
      </c>
      <c r="M34" s="7" t="s">
        <v>15</v>
      </c>
      <c r="N34" s="1" t="s">
        <v>84</v>
      </c>
      <c r="O34" s="4">
        <v>2150</v>
      </c>
    </row>
    <row r="35" spans="1:15" x14ac:dyDescent="0.35">
      <c r="A35" s="4" t="s">
        <v>75</v>
      </c>
      <c r="B35" s="4">
        <v>45</v>
      </c>
      <c r="C35" s="3">
        <v>30</v>
      </c>
      <c r="D35" s="18">
        <v>1000</v>
      </c>
      <c r="E35" s="3">
        <v>1004</v>
      </c>
      <c r="F35" s="18">
        <v>1.1299999999999999</v>
      </c>
      <c r="G35" s="3">
        <v>0</v>
      </c>
      <c r="H35" s="6">
        <f t="shared" si="0"/>
        <v>1.1299999999999999</v>
      </c>
      <c r="I35" s="1">
        <v>45</v>
      </c>
      <c r="J35" s="3">
        <v>1000</v>
      </c>
      <c r="K35" s="1"/>
      <c r="L35" s="3"/>
      <c r="M35" s="7" t="s">
        <v>21</v>
      </c>
      <c r="N35" s="1" t="s">
        <v>22</v>
      </c>
      <c r="O35" s="6">
        <v>312</v>
      </c>
    </row>
    <row r="36" spans="1:15" x14ac:dyDescent="0.35">
      <c r="A36" s="21" t="s">
        <v>68</v>
      </c>
      <c r="B36" s="14">
        <v>130</v>
      </c>
      <c r="C36" s="3">
        <v>110</v>
      </c>
      <c r="D36" s="18">
        <v>932</v>
      </c>
      <c r="E36" s="3">
        <v>951</v>
      </c>
      <c r="F36" s="18">
        <v>15.2775</v>
      </c>
      <c r="G36" s="3">
        <v>12.942500000000001</v>
      </c>
      <c r="H36" s="9">
        <f t="shared" si="0"/>
        <v>2.3349999999999991</v>
      </c>
      <c r="I36" s="1" t="s">
        <v>121</v>
      </c>
      <c r="J36" s="3" t="s">
        <v>122</v>
      </c>
      <c r="K36" s="1" t="s">
        <v>145</v>
      </c>
      <c r="L36" s="3" t="s">
        <v>162</v>
      </c>
      <c r="M36" s="7" t="s">
        <v>15</v>
      </c>
      <c r="N36" s="1" t="s">
        <v>85</v>
      </c>
      <c r="O36" s="16">
        <v>3561</v>
      </c>
    </row>
    <row r="37" spans="1:15" x14ac:dyDescent="0.35">
      <c r="A37" s="12" t="s">
        <v>69</v>
      </c>
      <c r="B37" s="4">
        <v>115</v>
      </c>
      <c r="C37" s="3">
        <v>115</v>
      </c>
      <c r="D37" s="18">
        <v>940</v>
      </c>
      <c r="E37" s="3">
        <v>943</v>
      </c>
      <c r="F37" s="18">
        <v>16.3825</v>
      </c>
      <c r="G37" s="3">
        <v>14.6775</v>
      </c>
      <c r="H37" s="6">
        <f t="shared" si="0"/>
        <v>1.7050000000000001</v>
      </c>
      <c r="I37" s="1" t="s">
        <v>123</v>
      </c>
      <c r="J37" s="3" t="s">
        <v>124</v>
      </c>
      <c r="K37" s="1" t="s">
        <v>129</v>
      </c>
      <c r="L37" s="3" t="s">
        <v>163</v>
      </c>
      <c r="M37" s="7" t="s">
        <v>21</v>
      </c>
      <c r="N37" s="1" t="s">
        <v>86</v>
      </c>
      <c r="O37" s="5">
        <v>3989</v>
      </c>
    </row>
    <row r="38" spans="1:15" x14ac:dyDescent="0.35">
      <c r="A38" s="4" t="s">
        <v>70</v>
      </c>
      <c r="B38" s="9">
        <v>35</v>
      </c>
      <c r="C38" s="3">
        <v>20</v>
      </c>
      <c r="D38" s="18">
        <v>1000</v>
      </c>
      <c r="E38" s="3">
        <v>1008</v>
      </c>
      <c r="F38" s="18">
        <v>0.1225</v>
      </c>
      <c r="G38" s="3">
        <v>0</v>
      </c>
      <c r="H38" s="6">
        <f t="shared" si="0"/>
        <v>0.1225</v>
      </c>
      <c r="I38" s="1">
        <v>35</v>
      </c>
      <c r="J38" s="3">
        <v>1000</v>
      </c>
      <c r="K38" s="1"/>
      <c r="L38" s="3"/>
      <c r="M38" s="7" t="s">
        <v>18</v>
      </c>
      <c r="N38" s="1" t="s">
        <v>27</v>
      </c>
      <c r="O38" s="11">
        <v>0</v>
      </c>
    </row>
    <row r="39" spans="1:15" x14ac:dyDescent="0.35">
      <c r="A39" s="5" t="s">
        <v>71</v>
      </c>
      <c r="B39" s="12">
        <v>50</v>
      </c>
      <c r="C39" s="3">
        <v>45</v>
      </c>
      <c r="D39" s="18">
        <v>990</v>
      </c>
      <c r="E39" s="3">
        <v>996</v>
      </c>
      <c r="F39" s="18">
        <v>2.6949999999999998</v>
      </c>
      <c r="G39" s="3">
        <v>0.81</v>
      </c>
      <c r="H39" s="6">
        <f>SUM(F39,-G39)</f>
        <v>1.8849999999999998</v>
      </c>
      <c r="I39" s="1" t="s">
        <v>89</v>
      </c>
      <c r="J39" s="3" t="s">
        <v>90</v>
      </c>
      <c r="K39" s="1" t="s">
        <v>146</v>
      </c>
      <c r="L39" s="3" t="s">
        <v>150</v>
      </c>
      <c r="M39" s="8" t="s">
        <v>21</v>
      </c>
      <c r="N39" s="1" t="s">
        <v>26</v>
      </c>
      <c r="O39" s="6">
        <v>904</v>
      </c>
    </row>
    <row r="40" spans="1:15" x14ac:dyDescent="0.35">
      <c r="A40" s="9" t="s">
        <v>72</v>
      </c>
      <c r="B40" s="11">
        <v>85</v>
      </c>
      <c r="C40" s="3">
        <v>75</v>
      </c>
      <c r="D40" s="18">
        <v>972</v>
      </c>
      <c r="E40" s="3">
        <v>975</v>
      </c>
      <c r="F40" s="18">
        <v>8.1824999999999992</v>
      </c>
      <c r="G40" s="3">
        <v>6.2949999999999999</v>
      </c>
      <c r="H40" s="11">
        <f t="shared" si="0"/>
        <v>1.8874999999999993</v>
      </c>
      <c r="I40" s="1" t="s">
        <v>125</v>
      </c>
      <c r="J40" s="3" t="s">
        <v>126</v>
      </c>
      <c r="K40" s="1" t="s">
        <v>147</v>
      </c>
      <c r="L40" s="3" t="s">
        <v>164</v>
      </c>
      <c r="M40" s="8" t="s">
        <v>15</v>
      </c>
      <c r="N40" s="1" t="s">
        <v>83</v>
      </c>
      <c r="O40" s="11">
        <v>1702</v>
      </c>
    </row>
    <row r="41" spans="1:15" x14ac:dyDescent="0.35">
      <c r="A41" s="3"/>
      <c r="B41" s="3"/>
      <c r="C41" s="3"/>
      <c r="D41" s="19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35">
      <c r="A42" s="1" t="s">
        <v>33</v>
      </c>
      <c r="B42" s="13">
        <f ca="1">MAX(OFFSET(B1,0,0,ROW()-1,1))</f>
        <v>155</v>
      </c>
      <c r="C42" s="17">
        <f ca="1">MAX(OFFSET(C1,0,0,ROW()-1,1))</f>
        <v>145</v>
      </c>
      <c r="D42" s="18">
        <f ca="1">MIN(OFFSET(D1,0,0,ROW()-1,1))</f>
        <v>890</v>
      </c>
      <c r="E42" s="3">
        <f ca="1">MIN(OFFSET(E1,0,0,ROW()-1,1))</f>
        <v>910</v>
      </c>
      <c r="F42" s="1">
        <f>SUM(F$1:INDEX(F:F, ROW()-1))</f>
        <v>247.23750000000001</v>
      </c>
      <c r="G42" s="3">
        <f>SUM(G$1:INDEX(G:G, ROW()-1))</f>
        <v>196.97499999999999</v>
      </c>
      <c r="H42" s="3" t="s">
        <v>34</v>
      </c>
      <c r="I42" s="3" t="s">
        <v>34</v>
      </c>
      <c r="J42" s="3" t="s">
        <v>34</v>
      </c>
      <c r="K42" s="3"/>
      <c r="L42" s="3"/>
      <c r="M42" s="3" t="s">
        <v>34</v>
      </c>
      <c r="N42" s="3"/>
      <c r="O42" s="1">
        <f>SUM(O$1:INDEX(O:O, ROW()-1))</f>
        <v>67845</v>
      </c>
    </row>
  </sheetData>
  <mergeCells count="4">
    <mergeCell ref="B1:C1"/>
    <mergeCell ref="D1:E1"/>
    <mergeCell ref="F1:H1"/>
    <mergeCell ref="I1:O1"/>
  </mergeCells>
  <phoneticPr fontId="1" type="noConversion"/>
  <conditionalFormatting sqref="D3:D1048576">
    <cfRule type="expression" dxfId="107" priority="57">
      <formula>D2&gt;=1000</formula>
    </cfRule>
  </conditionalFormatting>
  <conditionalFormatting sqref="D3:D1048576">
    <cfRule type="cellIs" dxfId="106" priority="56" operator="greaterThan">
      <formula>999</formula>
    </cfRule>
  </conditionalFormatting>
  <conditionalFormatting sqref="D3:D42">
    <cfRule type="cellIs" dxfId="105" priority="55" operator="between">
      <formula>999</formula>
      <formula>985</formula>
    </cfRule>
    <cfRule type="cellIs" dxfId="104" priority="54" operator="between">
      <formula>984</formula>
      <formula>970</formula>
    </cfRule>
    <cfRule type="cellIs" dxfId="103" priority="53" operator="between">
      <formula>969</formula>
      <formula>955</formula>
    </cfRule>
    <cfRule type="cellIs" dxfId="102" priority="52" operator="between">
      <formula>954</formula>
      <formula>940</formula>
    </cfRule>
    <cfRule type="cellIs" dxfId="101" priority="51" operator="between">
      <formula>939</formula>
      <formula>925</formula>
    </cfRule>
    <cfRule type="cellIs" dxfId="100" priority="50" operator="between">
      <formula>924</formula>
      <formula>910</formula>
    </cfRule>
    <cfRule type="cellIs" dxfId="99" priority="49" operator="between">
      <formula>909</formula>
      <formula>895</formula>
    </cfRule>
    <cfRule type="cellIs" dxfId="98" priority="48" operator="between">
      <formula>894</formula>
      <formula>880</formula>
    </cfRule>
    <cfRule type="cellIs" dxfId="97" priority="46" operator="between">
      <formula>880</formula>
      <formula>1</formula>
    </cfRule>
  </conditionalFormatting>
  <conditionalFormatting sqref="B3:B42">
    <cfRule type="cellIs" dxfId="96" priority="45" operator="between">
      <formula>137.5</formula>
      <formula>154</formula>
    </cfRule>
    <cfRule type="cellIs" dxfId="95" priority="44" operator="between">
      <formula>155</formula>
      <formula>169</formula>
    </cfRule>
    <cfRule type="cellIs" dxfId="94" priority="43" operator="greaterThanOrEqual">
      <formula>170</formula>
    </cfRule>
    <cfRule type="cellIs" dxfId="93" priority="42" operator="between">
      <formula>136</formula>
      <formula>130</formula>
    </cfRule>
    <cfRule type="cellIs" dxfId="92" priority="41" operator="between">
      <formula>129</formula>
      <formula>113</formula>
    </cfRule>
    <cfRule type="cellIs" dxfId="91" priority="40" operator="between">
      <formula>112</formula>
      <formula>96</formula>
    </cfRule>
    <cfRule type="cellIs" dxfId="90" priority="39" operator="between">
      <formula>95</formula>
      <formula>83</formula>
    </cfRule>
    <cfRule type="cellIs" dxfId="89" priority="38" operator="between">
      <formula>82</formula>
      <formula>64</formula>
    </cfRule>
    <cfRule type="cellIs" dxfId="88" priority="37" operator="between">
      <formula>63</formula>
      <formula>50</formula>
    </cfRule>
    <cfRule type="cellIs" dxfId="87" priority="36" operator="between">
      <formula>49</formula>
      <formula>34</formula>
    </cfRule>
    <cfRule type="cellIs" dxfId="86" priority="35" operator="between">
      <formula>33</formula>
      <formula>22</formula>
    </cfRule>
    <cfRule type="cellIs" dxfId="85" priority="34" operator="lessThan">
      <formula>22</formula>
    </cfRule>
    <cfRule type="containsText" dxfId="84" priority="33" operator="containsText" text="SS">
      <formula>NOT(ISERROR(SEARCH("SS",B3)))</formula>
    </cfRule>
    <cfRule type="containsText" dxfId="83" priority="32" operator="containsText" text="SD">
      <formula>NOT(ISERROR(SEARCH("SD",B3)))</formula>
    </cfRule>
    <cfRule type="containsText" dxfId="82" priority="31" operator="containsText" text="MD">
      <formula>NOT(ISERROR(SEARCH("MD",B3)))</formula>
    </cfRule>
    <cfRule type="containsText" dxfId="81" priority="30" operator="containsText" text="EX">
      <formula>NOT(ISERROR(SEARCH("EX",B3)))</formula>
    </cfRule>
  </conditionalFormatting>
  <conditionalFormatting sqref="F3:F40">
    <cfRule type="cellIs" dxfId="80" priority="28" operator="lessThan">
      <formula>0.5</formula>
    </cfRule>
  </conditionalFormatting>
  <conditionalFormatting sqref="F3:F40">
    <cfRule type="cellIs" dxfId="79" priority="19" operator="greaterThanOrEqual">
      <formula>55</formula>
    </cfRule>
    <cfRule type="cellIs" dxfId="78" priority="20" operator="greaterThanOrEqual">
      <formula>40</formula>
    </cfRule>
    <cfRule type="cellIs" dxfId="77" priority="21" operator="greaterThanOrEqual">
      <formula>30</formula>
    </cfRule>
    <cfRule type="cellIs" dxfId="76" priority="23" operator="greaterThanOrEqual">
      <formula>20</formula>
    </cfRule>
    <cfRule type="cellIs" dxfId="75" priority="24" operator="greaterThanOrEqual">
      <formula>10</formula>
    </cfRule>
    <cfRule type="cellIs" dxfId="74" priority="25" operator="greaterThanOrEqual">
      <formula>5</formula>
    </cfRule>
    <cfRule type="cellIs" dxfId="73" priority="26" operator="greaterThanOrEqual">
      <formula>2</formula>
    </cfRule>
    <cfRule type="cellIs" dxfId="72" priority="27" operator="greaterThanOrEqual">
      <formula>0.5</formula>
    </cfRule>
  </conditionalFormatting>
  <conditionalFormatting sqref="H3:H40">
    <cfRule type="cellIs" dxfId="71" priority="18" operator="lessThanOrEqual">
      <formula>-5</formula>
    </cfRule>
    <cfRule type="cellIs" dxfId="70" priority="17" operator="greaterThan">
      <formula>-5</formula>
    </cfRule>
    <cfRule type="cellIs" dxfId="69" priority="16" operator="equal">
      <formula>0</formula>
    </cfRule>
    <cfRule type="cellIs" dxfId="68" priority="15" operator="greaterThan">
      <formula>0</formula>
    </cfRule>
    <cfRule type="cellIs" dxfId="67" priority="14" operator="greaterThanOrEqual">
      <formula>2</formula>
    </cfRule>
    <cfRule type="cellIs" dxfId="66" priority="13" operator="greaterThanOrEqual">
      <formula>5</formula>
    </cfRule>
  </conditionalFormatting>
  <conditionalFormatting sqref="M3:M40">
    <cfRule type="containsText" dxfId="65" priority="12" operator="containsText" text="High">
      <formula>NOT(ISERROR(SEARCH("High",M3)))</formula>
    </cfRule>
    <cfRule type="containsText" dxfId="64" priority="11" operator="containsText" text="Med">
      <formula>NOT(ISERROR(SEARCH("Med",M3)))</formula>
    </cfRule>
    <cfRule type="containsText" dxfId="63" priority="10" operator="containsText" text="Low">
      <formula>NOT(ISERROR(SEARCH("Low",M3)))</formula>
    </cfRule>
  </conditionalFormatting>
  <conditionalFormatting sqref="O3:O40">
    <cfRule type="cellIs" dxfId="62" priority="9" operator="lessThan">
      <formula>500</formula>
    </cfRule>
    <cfRule type="cellIs" dxfId="61" priority="8" operator="greaterThanOrEqual">
      <formula>500</formula>
    </cfRule>
    <cfRule type="cellIs" dxfId="60" priority="7" operator="greaterThanOrEqual">
      <formula>1000</formula>
    </cfRule>
    <cfRule type="cellIs" dxfId="59" priority="6" operator="greaterThanOrEqual">
      <formula>1500</formula>
    </cfRule>
    <cfRule type="cellIs" dxfId="58" priority="5" operator="greaterThanOrEqual">
      <formula>2500</formula>
    </cfRule>
    <cfRule type="cellIs" dxfId="57" priority="4" operator="greaterThanOrEqual">
      <formula>3500</formula>
    </cfRule>
    <cfRule type="cellIs" dxfId="54" priority="3" operator="greaterThanOrEqual">
      <formula>4500</formula>
    </cfRule>
    <cfRule type="cellIs" dxfId="56" priority="2" operator="greaterThanOrEqual">
      <formula>6000</formula>
    </cfRule>
    <cfRule type="cellIs" dxfId="55" priority="1" operator="greaterThanOrEqual">
      <formula>7500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Yukioto</dc:creator>
  <cp:lastModifiedBy>yuchen zhang</cp:lastModifiedBy>
  <dcterms:created xsi:type="dcterms:W3CDTF">2015-06-05T18:19:34Z</dcterms:created>
  <dcterms:modified xsi:type="dcterms:W3CDTF">2026-05-04T08:41:26Z</dcterms:modified>
</cp:coreProperties>
</file>