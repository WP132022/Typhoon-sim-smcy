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气象\自评\2026\2025-2026sh\"/>
    </mc:Choice>
  </mc:AlternateContent>
  <xr:revisionPtr revIDLastSave="0" documentId="13_ncr:1_{EA37DA2B-0A16-4249-BC96-13B1B15496F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2" i="1" l="1"/>
  <c r="G42" i="1"/>
  <c r="F42" i="1"/>
  <c r="E42" i="1"/>
  <c r="D42" i="1"/>
  <c r="C42" i="1"/>
  <c r="B42" i="1"/>
  <c r="H2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3" i="1"/>
</calcChain>
</file>

<file path=xl/sharedStrings.xml><?xml version="1.0" encoding="utf-8"?>
<sst xmlns="http://schemas.openxmlformats.org/spreadsheetml/2006/main" count="175" uniqueCount="118">
  <si>
    <t>2026南半球</t>
    <phoneticPr fontId="1" type="noConversion"/>
  </si>
  <si>
    <t>编号 名称</t>
    <phoneticPr fontId="1" type="noConversion"/>
  </si>
  <si>
    <t>风速</t>
    <phoneticPr fontId="1" type="noConversion"/>
  </si>
  <si>
    <t>气压</t>
    <phoneticPr fontId="1" type="noConversion"/>
  </si>
  <si>
    <t>ACE</t>
    <phoneticPr fontId="1" type="noConversion"/>
  </si>
  <si>
    <t>其他</t>
    <phoneticPr fontId="1" type="noConversion"/>
  </si>
  <si>
    <t>SH01 01S</t>
    <phoneticPr fontId="1" type="noConversion"/>
  </si>
  <si>
    <t>SH02 Awo</t>
    <phoneticPr fontId="1" type="noConversion"/>
  </si>
  <si>
    <t>SH03 Blossom</t>
    <phoneticPr fontId="1" type="noConversion"/>
  </si>
  <si>
    <t>SHB0 60S</t>
    <phoneticPr fontId="1" type="noConversion"/>
  </si>
  <si>
    <t>SH04 Chenge</t>
    <phoneticPr fontId="1" type="noConversion"/>
  </si>
  <si>
    <t>SHB3 61S</t>
    <phoneticPr fontId="1" type="noConversion"/>
  </si>
  <si>
    <t>SH06 06S</t>
    <phoneticPr fontId="1" type="noConversion"/>
  </si>
  <si>
    <t>SH07 Bakung</t>
    <phoneticPr fontId="1" type="noConversion"/>
  </si>
  <si>
    <t>SH08 08S</t>
    <phoneticPr fontId="1" type="noConversion"/>
  </si>
  <si>
    <t>SH09 Grant</t>
    <phoneticPr fontId="1" type="noConversion"/>
  </si>
  <si>
    <t>SH10 Hayley</t>
    <phoneticPr fontId="1" type="noConversion"/>
  </si>
  <si>
    <t>SHC8 62S</t>
    <phoneticPr fontId="1" type="noConversion"/>
  </si>
  <si>
    <t>SH12 Jenna</t>
    <phoneticPr fontId="1" type="noConversion"/>
  </si>
  <si>
    <t>SH13 Koji</t>
    <phoneticPr fontId="1" type="noConversion"/>
  </si>
  <si>
    <t>SHX0 63S</t>
    <phoneticPr fontId="1" type="noConversion"/>
  </si>
  <si>
    <t>SH15 Ewetse</t>
    <phoneticPr fontId="1" type="noConversion"/>
  </si>
  <si>
    <t>SHD4 64S</t>
    <phoneticPr fontId="1" type="noConversion"/>
  </si>
  <si>
    <t>SH16 16P</t>
    <phoneticPr fontId="1" type="noConversion"/>
  </si>
  <si>
    <t>SH17 Luana</t>
    <phoneticPr fontId="1" type="noConversion"/>
  </si>
  <si>
    <t>SH18 18P</t>
    <phoneticPr fontId="1" type="noConversion"/>
  </si>
  <si>
    <t>SHE2 65P</t>
    <phoneticPr fontId="1" type="noConversion"/>
  </si>
  <si>
    <t>SHE9 66P</t>
    <phoneticPr fontId="1" type="noConversion"/>
  </si>
  <si>
    <t>SH19 Fytia</t>
    <phoneticPr fontId="1" type="noConversion"/>
  </si>
  <si>
    <t>SH20 Mitchell</t>
    <phoneticPr fontId="1" type="noConversion"/>
  </si>
  <si>
    <t>SH21 Gezani</t>
    <phoneticPr fontId="1" type="noConversion"/>
  </si>
  <si>
    <t>SH22 Horacio</t>
    <phoneticPr fontId="1" type="noConversion"/>
  </si>
  <si>
    <t>SH23 Urmil</t>
    <phoneticPr fontId="1" type="noConversion"/>
  </si>
  <si>
    <t>SH24 24P</t>
    <phoneticPr fontId="1" type="noConversion"/>
  </si>
  <si>
    <t>SH25 25S</t>
    <phoneticPr fontId="1" type="noConversion"/>
  </si>
  <si>
    <t>SH26 26S</t>
    <phoneticPr fontId="1" type="noConversion"/>
  </si>
  <si>
    <t>SH27 Narelle</t>
    <phoneticPr fontId="1" type="noConversion"/>
  </si>
  <si>
    <t>SH28 28P</t>
    <phoneticPr fontId="1" type="noConversion"/>
  </si>
  <si>
    <t>SH29 Indusa</t>
    <phoneticPr fontId="1" type="noConversion"/>
  </si>
  <si>
    <t>SH30 Maila</t>
    <phoneticPr fontId="1" type="noConversion"/>
  </si>
  <si>
    <t>SH31 Vaianu</t>
    <phoneticPr fontId="1" type="noConversion"/>
  </si>
  <si>
    <t>自评</t>
    <phoneticPr fontId="1" type="noConversion"/>
  </si>
  <si>
    <t>官评</t>
    <phoneticPr fontId="1" type="noConversion"/>
  </si>
  <si>
    <t>差值</t>
    <phoneticPr fontId="1" type="noConversion"/>
  </si>
  <si>
    <t>巅峰强度（主要）</t>
    <phoneticPr fontId="1" type="noConversion"/>
  </si>
  <si>
    <t>巅峰气压（主要）</t>
    <phoneticPr fontId="1" type="noConversion"/>
  </si>
  <si>
    <t>登陆强度</t>
    <phoneticPr fontId="1" type="noConversion"/>
  </si>
  <si>
    <t>登陆气压</t>
    <phoneticPr fontId="1" type="noConversion"/>
  </si>
  <si>
    <t>可信度</t>
    <phoneticPr fontId="1" type="noConversion"/>
  </si>
  <si>
    <t>活跃时长</t>
    <phoneticPr fontId="1" type="noConversion"/>
  </si>
  <si>
    <t>路径长度</t>
    <phoneticPr fontId="1" type="noConversion"/>
  </si>
  <si>
    <t>SH05 Fina</t>
    <phoneticPr fontId="1" type="noConversion"/>
  </si>
  <si>
    <t>SH11 Iggy</t>
    <phoneticPr fontId="1" type="noConversion"/>
  </si>
  <si>
    <t>-</t>
    <phoneticPr fontId="1" type="noConversion"/>
  </si>
  <si>
    <t>SH14 Dudzai</t>
    <phoneticPr fontId="1" type="noConversion"/>
  </si>
  <si>
    <t>2d 0h</t>
  </si>
  <si>
    <t>1d 0h</t>
  </si>
  <si>
    <t>3d 6h</t>
  </si>
  <si>
    <t>7d 12h</t>
  </si>
  <si>
    <t>7d 18h</t>
  </si>
  <si>
    <t>1d 6h</t>
  </si>
  <si>
    <t>6d 6h</t>
  </si>
  <si>
    <t>2d 6h</t>
  </si>
  <si>
    <t>17d 6h</t>
  </si>
  <si>
    <t>4d 6h</t>
  </si>
  <si>
    <t>3d 12h</t>
  </si>
  <si>
    <t>11d 0h</t>
  </si>
  <si>
    <t>0d 0h</t>
  </si>
  <si>
    <t>2d 18h</t>
  </si>
  <si>
    <t>4d 12h</t>
  </si>
  <si>
    <t>5d 12h</t>
  </si>
  <si>
    <t>3d 18h</t>
  </si>
  <si>
    <t>9d 18h</t>
  </si>
  <si>
    <t>6d 0h</t>
  </si>
  <si>
    <t>0d 18h</t>
  </si>
  <si>
    <t>12d 6h</t>
  </si>
  <si>
    <t>4d 0h</t>
  </si>
  <si>
    <t>8d 12h</t>
  </si>
  <si>
    <t>Med</t>
    <phoneticPr fontId="1" type="noConversion"/>
  </si>
  <si>
    <t>Low</t>
    <phoneticPr fontId="1" type="noConversion"/>
  </si>
  <si>
    <t>High</t>
    <phoneticPr fontId="1" type="noConversion"/>
  </si>
  <si>
    <t>40 40</t>
    <phoneticPr fontId="1" type="noConversion"/>
  </si>
  <si>
    <t>1000 998</t>
    <phoneticPr fontId="1" type="noConversion"/>
  </si>
  <si>
    <t>65 65</t>
    <phoneticPr fontId="1" type="noConversion"/>
  </si>
  <si>
    <t>982 978</t>
    <phoneticPr fontId="1" type="noConversion"/>
  </si>
  <si>
    <t>65 85 125</t>
    <phoneticPr fontId="1" type="noConversion"/>
  </si>
  <si>
    <t>980 968 932</t>
    <phoneticPr fontId="1" type="noConversion"/>
  </si>
  <si>
    <t>110 110 105</t>
    <phoneticPr fontId="1" type="noConversion"/>
  </si>
  <si>
    <t>958 955 960</t>
    <phoneticPr fontId="1" type="noConversion"/>
  </si>
  <si>
    <t>65 140 130</t>
    <phoneticPr fontId="1" type="noConversion"/>
  </si>
  <si>
    <t>985 930 938</t>
    <phoneticPr fontId="1" type="noConversion"/>
  </si>
  <si>
    <t>95 35</t>
    <phoneticPr fontId="1" type="noConversion"/>
  </si>
  <si>
    <t>965 1000</t>
    <phoneticPr fontId="1" type="noConversion"/>
  </si>
  <si>
    <t>125 130 70</t>
    <phoneticPr fontId="1" type="noConversion"/>
  </si>
  <si>
    <t>945 935 978</t>
    <phoneticPr fontId="1" type="noConversion"/>
  </si>
  <si>
    <t>65 50(land)</t>
    <phoneticPr fontId="1" type="noConversion"/>
  </si>
  <si>
    <t>985 995</t>
    <phoneticPr fontId="1" type="noConversion"/>
  </si>
  <si>
    <t>105 55</t>
    <phoneticPr fontId="1" type="noConversion"/>
  </si>
  <si>
    <t>958 990</t>
    <phoneticPr fontId="1" type="noConversion"/>
  </si>
  <si>
    <t>120 95 100 90</t>
    <phoneticPr fontId="1" type="noConversion"/>
  </si>
  <si>
    <t>952 968 960 965</t>
    <phoneticPr fontId="1" type="noConversion"/>
  </si>
  <si>
    <t>135 130 95 115</t>
    <phoneticPr fontId="1" type="noConversion"/>
  </si>
  <si>
    <t>928 928 965 948</t>
    <phoneticPr fontId="1" type="noConversion"/>
  </si>
  <si>
    <t>115 100 40</t>
    <phoneticPr fontId="1" type="noConversion"/>
  </si>
  <si>
    <t>948 955 998</t>
    <phoneticPr fontId="1" type="noConversion"/>
  </si>
  <si>
    <t>105 105 70</t>
    <phoneticPr fontId="1" type="noConversion"/>
  </si>
  <si>
    <t>952 955 978</t>
    <phoneticPr fontId="1" type="noConversion"/>
  </si>
  <si>
    <t>1d 12h</t>
    <phoneticPr fontId="1" type="noConversion"/>
  </si>
  <si>
    <t>总计/最高</t>
    <phoneticPr fontId="1" type="noConversion"/>
  </si>
  <si>
    <t>/</t>
    <phoneticPr fontId="1" type="noConversion"/>
  </si>
  <si>
    <t>80 75 105</t>
    <phoneticPr fontId="1" type="noConversion"/>
  </si>
  <si>
    <t>978 972 945</t>
    <phoneticPr fontId="1" type="noConversion"/>
  </si>
  <si>
    <t>15 15 20 15</t>
    <phoneticPr fontId="1" type="noConversion"/>
  </si>
  <si>
    <t>1008 1008 1005 1008</t>
    <phoneticPr fontId="1" type="noConversion"/>
  </si>
  <si>
    <t>120 90 40 100 85</t>
    <phoneticPr fontId="1" type="noConversion"/>
  </si>
  <si>
    <t>935 965 995 960 968</t>
    <phoneticPr fontId="1" type="noConversion"/>
  </si>
  <si>
    <t>70 65</t>
    <phoneticPr fontId="1" type="noConversion"/>
  </si>
  <si>
    <t>978 982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</si>
</sst>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7" tint="-0.249977111117893"/>
      <name val="等线"/>
      <family val="2"/>
      <scheme val="minor"/>
    </font>
    <font>
      <sz val="11"/>
      <color rgb="FFFFC000"/>
      <name val="等线"/>
      <family val="2"/>
      <scheme val="minor"/>
    </font>
    <font>
      <sz val="11"/>
      <color rgb="FF7030A0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19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538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11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198"/>
      <color rgb="FFFF53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topLeftCell="A7" zoomScale="82" zoomScaleNormal="82" workbookViewId="0">
      <selection activeCell="M28" sqref="M28"/>
    </sheetView>
  </sheetViews>
  <sheetFormatPr defaultRowHeight="14.15" x14ac:dyDescent="0.35"/>
  <cols>
    <col min="1" max="1" width="20.640625" customWidth="1"/>
    <col min="2" max="2" width="5.640625" customWidth="1"/>
    <col min="3" max="3" width="5.5703125" customWidth="1"/>
    <col min="4" max="5" width="8.0703125" customWidth="1"/>
    <col min="9" max="10" width="20.640625" customWidth="1"/>
    <col min="11" max="11" width="15.640625" customWidth="1"/>
    <col min="12" max="12" width="20.640625" customWidth="1"/>
  </cols>
  <sheetData>
    <row r="1" spans="1:19" x14ac:dyDescent="0.35">
      <c r="A1" s="6" t="s">
        <v>0</v>
      </c>
      <c r="B1" s="12" t="s">
        <v>2</v>
      </c>
      <c r="C1" s="12"/>
      <c r="D1" s="12" t="s">
        <v>3</v>
      </c>
      <c r="E1" s="12"/>
      <c r="F1" s="12" t="s">
        <v>4</v>
      </c>
      <c r="G1" s="12"/>
      <c r="H1" s="12"/>
      <c r="I1" s="12" t="s">
        <v>5</v>
      </c>
      <c r="J1" s="12"/>
      <c r="K1" s="12"/>
      <c r="L1" s="12"/>
      <c r="M1" s="12"/>
      <c r="N1" s="12"/>
      <c r="O1" s="12"/>
    </row>
    <row r="2" spans="1:19" x14ac:dyDescent="0.35">
      <c r="A2" s="6" t="s">
        <v>1</v>
      </c>
      <c r="B2" s="6" t="s">
        <v>41</v>
      </c>
      <c r="C2" s="1" t="s">
        <v>42</v>
      </c>
      <c r="D2" s="6" t="s">
        <v>41</v>
      </c>
      <c r="E2" s="1" t="s">
        <v>42</v>
      </c>
      <c r="F2" s="6" t="s">
        <v>41</v>
      </c>
      <c r="G2" s="1" t="s">
        <v>42</v>
      </c>
      <c r="H2" s="1" t="s">
        <v>43</v>
      </c>
      <c r="I2" s="6" t="s">
        <v>44</v>
      </c>
      <c r="J2" s="1" t="s">
        <v>45</v>
      </c>
      <c r="K2" s="6" t="s">
        <v>46</v>
      </c>
      <c r="L2" s="1" t="s">
        <v>47</v>
      </c>
      <c r="M2" s="1" t="s">
        <v>48</v>
      </c>
      <c r="N2" s="6" t="s">
        <v>49</v>
      </c>
      <c r="O2" s="6" t="s">
        <v>50</v>
      </c>
    </row>
    <row r="3" spans="1:19" x14ac:dyDescent="0.35">
      <c r="A3" s="2" t="s">
        <v>6</v>
      </c>
      <c r="B3" s="2">
        <v>40</v>
      </c>
      <c r="C3" s="1">
        <v>35</v>
      </c>
      <c r="D3" s="3">
        <v>998</v>
      </c>
      <c r="E3" s="1">
        <v>1001</v>
      </c>
      <c r="F3" s="3">
        <v>1.1775</v>
      </c>
      <c r="G3" s="1">
        <v>0.85750000000000004</v>
      </c>
      <c r="H3" s="4">
        <f>SUM(F3,-G3)</f>
        <v>0.31999999999999995</v>
      </c>
      <c r="I3" s="6">
        <v>40</v>
      </c>
      <c r="J3" s="1">
        <v>998</v>
      </c>
      <c r="K3" s="6"/>
      <c r="L3" s="1"/>
      <c r="M3" s="14" t="s">
        <v>78</v>
      </c>
      <c r="N3" s="6" t="s">
        <v>55</v>
      </c>
      <c r="O3" s="3">
        <v>676</v>
      </c>
      <c r="P3" s="1"/>
      <c r="Q3" s="1"/>
      <c r="R3" s="1"/>
      <c r="S3" s="1"/>
    </row>
    <row r="4" spans="1:19" x14ac:dyDescent="0.35">
      <c r="A4" s="2" t="s">
        <v>9</v>
      </c>
      <c r="B4" s="2">
        <v>45</v>
      </c>
      <c r="C4" s="1">
        <v>30</v>
      </c>
      <c r="D4" s="3">
        <v>995</v>
      </c>
      <c r="E4" s="1">
        <v>1000</v>
      </c>
      <c r="F4" s="3">
        <v>1.135</v>
      </c>
      <c r="G4">
        <v>0</v>
      </c>
      <c r="H4" s="4">
        <f t="shared" ref="H4:H40" si="0">SUM(F4,-G4)</f>
        <v>1.135</v>
      </c>
      <c r="I4" s="6">
        <v>45</v>
      </c>
      <c r="J4" s="1">
        <v>995</v>
      </c>
      <c r="K4" s="6"/>
      <c r="L4" s="1"/>
      <c r="M4" s="14" t="s">
        <v>78</v>
      </c>
      <c r="N4" s="6" t="s">
        <v>107</v>
      </c>
      <c r="O4" s="3">
        <v>533</v>
      </c>
      <c r="P4" s="1"/>
      <c r="Q4" s="1"/>
      <c r="R4" s="1"/>
      <c r="S4" s="1"/>
    </row>
    <row r="5" spans="1:19" x14ac:dyDescent="0.35">
      <c r="A5" s="3" t="s">
        <v>7</v>
      </c>
      <c r="B5" s="3">
        <v>50</v>
      </c>
      <c r="C5" s="1">
        <v>35</v>
      </c>
      <c r="D5" s="3">
        <v>995</v>
      </c>
      <c r="E5" s="1">
        <v>998</v>
      </c>
      <c r="F5" s="3">
        <v>0.9375</v>
      </c>
      <c r="G5" s="1">
        <v>0.61250000000000004</v>
      </c>
      <c r="H5" s="4">
        <f t="shared" si="0"/>
        <v>0.32499999999999996</v>
      </c>
      <c r="I5" s="6">
        <v>50</v>
      </c>
      <c r="J5" s="1">
        <v>995</v>
      </c>
      <c r="K5" s="6"/>
      <c r="L5" s="1"/>
      <c r="M5" s="14" t="s">
        <v>78</v>
      </c>
      <c r="N5" s="6" t="s">
        <v>56</v>
      </c>
      <c r="O5" s="2">
        <v>315</v>
      </c>
      <c r="P5" s="1"/>
      <c r="Q5" s="1"/>
      <c r="R5" s="1"/>
      <c r="S5" s="1"/>
    </row>
    <row r="6" spans="1:19" x14ac:dyDescent="0.35">
      <c r="A6" s="2" t="s">
        <v>8</v>
      </c>
      <c r="B6" s="2">
        <v>40</v>
      </c>
      <c r="C6" s="1">
        <v>35</v>
      </c>
      <c r="D6" s="3">
        <v>998</v>
      </c>
      <c r="E6" s="1">
        <v>1004</v>
      </c>
      <c r="F6" s="3">
        <v>1.9025000000000001</v>
      </c>
      <c r="G6" s="1">
        <v>1.47</v>
      </c>
      <c r="H6" s="4">
        <f t="shared" si="0"/>
        <v>0.43250000000000011</v>
      </c>
      <c r="I6" s="6" t="s">
        <v>81</v>
      </c>
      <c r="J6" s="1" t="s">
        <v>82</v>
      </c>
      <c r="K6" s="6"/>
      <c r="L6" s="1"/>
      <c r="M6" s="14" t="s">
        <v>78</v>
      </c>
      <c r="N6" s="6" t="s">
        <v>57</v>
      </c>
      <c r="O6" s="4">
        <v>1192</v>
      </c>
      <c r="P6" s="1"/>
      <c r="Q6" s="1"/>
      <c r="R6" s="1"/>
      <c r="S6" s="1"/>
    </row>
    <row r="7" spans="1:19" x14ac:dyDescent="0.35">
      <c r="A7" s="2" t="s">
        <v>11</v>
      </c>
      <c r="B7" s="2">
        <v>40</v>
      </c>
      <c r="C7" s="1">
        <v>30</v>
      </c>
      <c r="D7" s="2">
        <v>1000</v>
      </c>
      <c r="E7" s="1">
        <v>1003</v>
      </c>
      <c r="F7" s="3">
        <v>0.6875</v>
      </c>
      <c r="G7" s="1">
        <v>0</v>
      </c>
      <c r="H7" s="4">
        <f t="shared" si="0"/>
        <v>0.6875</v>
      </c>
      <c r="I7" s="6">
        <v>40</v>
      </c>
      <c r="J7" s="1">
        <v>1000</v>
      </c>
      <c r="K7" s="6"/>
      <c r="L7" s="1"/>
      <c r="M7" s="15" t="s">
        <v>79</v>
      </c>
      <c r="N7" s="6" t="s">
        <v>56</v>
      </c>
      <c r="O7" s="2">
        <v>265</v>
      </c>
      <c r="P7" s="1"/>
      <c r="Q7" s="1"/>
      <c r="R7" s="1"/>
      <c r="S7" s="1"/>
    </row>
    <row r="8" spans="1:19" x14ac:dyDescent="0.35">
      <c r="A8" s="4" t="s">
        <v>10</v>
      </c>
      <c r="B8" s="4">
        <v>65</v>
      </c>
      <c r="C8" s="1">
        <v>60</v>
      </c>
      <c r="D8" s="4">
        <v>975</v>
      </c>
      <c r="E8" s="1">
        <v>978</v>
      </c>
      <c r="F8" s="9">
        <v>7.45</v>
      </c>
      <c r="G8" s="1">
        <v>6.63</v>
      </c>
      <c r="H8" s="4">
        <f t="shared" si="0"/>
        <v>0.82000000000000028</v>
      </c>
      <c r="I8" s="6" t="s">
        <v>83</v>
      </c>
      <c r="J8" s="1" t="s">
        <v>84</v>
      </c>
      <c r="K8" s="6">
        <v>15</v>
      </c>
      <c r="L8" s="1">
        <v>1010</v>
      </c>
      <c r="M8" s="16" t="s">
        <v>80</v>
      </c>
      <c r="N8" s="6" t="s">
        <v>58</v>
      </c>
      <c r="O8" s="7">
        <v>2802</v>
      </c>
      <c r="P8" s="1"/>
      <c r="Q8" s="1"/>
      <c r="R8" s="1"/>
      <c r="S8" s="1"/>
    </row>
    <row r="9" spans="1:19" x14ac:dyDescent="0.35">
      <c r="A9" s="5" t="s">
        <v>51</v>
      </c>
      <c r="B9" s="5">
        <v>125</v>
      </c>
      <c r="C9" s="1">
        <v>115</v>
      </c>
      <c r="D9" s="5">
        <v>932</v>
      </c>
      <c r="E9" s="1">
        <v>946</v>
      </c>
      <c r="F9" s="7">
        <v>19.395</v>
      </c>
      <c r="G9" s="1">
        <v>17.1525</v>
      </c>
      <c r="H9" s="9">
        <f t="shared" si="0"/>
        <v>2.2424999999999997</v>
      </c>
      <c r="I9" s="6" t="s">
        <v>85</v>
      </c>
      <c r="J9" s="1" t="s">
        <v>86</v>
      </c>
      <c r="K9" s="6" t="s">
        <v>110</v>
      </c>
      <c r="L9" s="1" t="s">
        <v>111</v>
      </c>
      <c r="M9" s="15" t="s">
        <v>79</v>
      </c>
      <c r="N9" s="6" t="s">
        <v>59</v>
      </c>
      <c r="O9" s="4">
        <v>1358</v>
      </c>
      <c r="P9" s="1"/>
      <c r="Q9" s="1"/>
      <c r="R9" s="1"/>
      <c r="S9" s="1"/>
    </row>
    <row r="10" spans="1:19" x14ac:dyDescent="0.35">
      <c r="A10" s="3" t="s">
        <v>12</v>
      </c>
      <c r="B10" s="3">
        <v>60</v>
      </c>
      <c r="C10" s="1">
        <v>40</v>
      </c>
      <c r="D10" s="3">
        <v>990</v>
      </c>
      <c r="E10" s="1">
        <v>999</v>
      </c>
      <c r="F10" s="3">
        <v>1.26</v>
      </c>
      <c r="G10" s="1">
        <v>0.72499999999999998</v>
      </c>
      <c r="H10" s="4">
        <f t="shared" si="0"/>
        <v>0.53500000000000003</v>
      </c>
      <c r="I10" s="6">
        <v>60</v>
      </c>
      <c r="J10" s="1">
        <v>990</v>
      </c>
      <c r="K10" s="6"/>
      <c r="L10" s="1"/>
      <c r="M10" s="14" t="s">
        <v>78</v>
      </c>
      <c r="N10" s="6" t="s">
        <v>60</v>
      </c>
      <c r="O10" s="3">
        <v>854</v>
      </c>
      <c r="P10" s="1"/>
      <c r="Q10" s="1"/>
      <c r="R10" s="1"/>
      <c r="S10" s="1"/>
    </row>
    <row r="11" spans="1:19" x14ac:dyDescent="0.35">
      <c r="A11" s="7" t="s">
        <v>13</v>
      </c>
      <c r="B11" s="7">
        <v>110</v>
      </c>
      <c r="C11" s="1">
        <v>80</v>
      </c>
      <c r="D11" s="9">
        <v>955</v>
      </c>
      <c r="E11" s="1">
        <v>975</v>
      </c>
      <c r="F11" s="7">
        <v>12.08</v>
      </c>
      <c r="G11" s="1">
        <v>7.0350000000000001</v>
      </c>
      <c r="H11" s="7">
        <f t="shared" si="0"/>
        <v>5.0449999999999999</v>
      </c>
      <c r="I11" s="6" t="s">
        <v>87</v>
      </c>
      <c r="J11" s="1" t="s">
        <v>88</v>
      </c>
      <c r="K11" s="6"/>
      <c r="L11" s="1"/>
      <c r="M11" s="14" t="s">
        <v>80</v>
      </c>
      <c r="N11" s="6" t="s">
        <v>61</v>
      </c>
      <c r="O11" s="9">
        <v>1635</v>
      </c>
      <c r="P11" s="1"/>
      <c r="Q11" s="1"/>
      <c r="R11" s="1"/>
      <c r="S11" s="1"/>
    </row>
    <row r="12" spans="1:19" x14ac:dyDescent="0.35">
      <c r="A12" s="2" t="s">
        <v>14</v>
      </c>
      <c r="B12" s="2">
        <v>45</v>
      </c>
      <c r="C12" s="1">
        <v>40</v>
      </c>
      <c r="D12" s="3">
        <v>995</v>
      </c>
      <c r="E12" s="1">
        <v>998</v>
      </c>
      <c r="F12" s="3">
        <v>1.5349999999999999</v>
      </c>
      <c r="G12" s="1">
        <v>1.2625</v>
      </c>
      <c r="H12" s="4">
        <f t="shared" si="0"/>
        <v>0.27249999999999996</v>
      </c>
      <c r="I12" s="6">
        <v>45</v>
      </c>
      <c r="J12" s="1">
        <v>995</v>
      </c>
      <c r="K12" s="6"/>
      <c r="L12" s="1"/>
      <c r="M12" s="14" t="s">
        <v>78</v>
      </c>
      <c r="N12" s="6" t="s">
        <v>62</v>
      </c>
      <c r="O12" s="3">
        <v>636</v>
      </c>
      <c r="P12" s="1"/>
      <c r="Q12" s="1"/>
      <c r="R12" s="1"/>
      <c r="S12" s="1"/>
    </row>
    <row r="13" spans="1:19" x14ac:dyDescent="0.35">
      <c r="A13" s="8" t="s">
        <v>15</v>
      </c>
      <c r="B13" s="8">
        <v>140</v>
      </c>
      <c r="C13" s="1">
        <v>120</v>
      </c>
      <c r="D13" s="5">
        <v>930</v>
      </c>
      <c r="E13" s="1">
        <v>944</v>
      </c>
      <c r="F13" s="8">
        <v>32.342500000000001</v>
      </c>
      <c r="G13" s="1">
        <v>26.08</v>
      </c>
      <c r="H13" s="7">
        <f t="shared" si="0"/>
        <v>6.2625000000000028</v>
      </c>
      <c r="I13" s="6" t="s">
        <v>89</v>
      </c>
      <c r="J13" s="1" t="s">
        <v>90</v>
      </c>
      <c r="K13" s="6"/>
      <c r="L13" s="1"/>
      <c r="M13" s="16" t="s">
        <v>80</v>
      </c>
      <c r="N13" s="6" t="s">
        <v>63</v>
      </c>
      <c r="O13" s="8">
        <v>5561</v>
      </c>
      <c r="P13" s="1"/>
      <c r="Q13" s="1"/>
      <c r="R13" s="1"/>
      <c r="S13" s="1"/>
    </row>
    <row r="14" spans="1:19" x14ac:dyDescent="0.35">
      <c r="A14" s="5" t="s">
        <v>16</v>
      </c>
      <c r="B14" s="5">
        <v>115</v>
      </c>
      <c r="C14" s="1">
        <v>90</v>
      </c>
      <c r="D14" s="7">
        <v>950</v>
      </c>
      <c r="E14" s="1">
        <v>964</v>
      </c>
      <c r="F14" s="9">
        <v>7.52</v>
      </c>
      <c r="G14" s="1">
        <v>4.9225000000000003</v>
      </c>
      <c r="H14" s="9">
        <f t="shared" si="0"/>
        <v>2.5974999999999993</v>
      </c>
      <c r="I14" s="6">
        <v>115</v>
      </c>
      <c r="J14" s="1">
        <v>950</v>
      </c>
      <c r="K14" s="6">
        <v>95</v>
      </c>
      <c r="L14" s="1">
        <v>962</v>
      </c>
      <c r="M14" s="14" t="s">
        <v>78</v>
      </c>
      <c r="N14" s="6" t="s">
        <v>57</v>
      </c>
      <c r="O14" s="4">
        <v>1099</v>
      </c>
      <c r="P14" s="1"/>
      <c r="Q14" s="1"/>
      <c r="R14" s="1"/>
      <c r="S14" s="1"/>
    </row>
    <row r="15" spans="1:19" x14ac:dyDescent="0.35">
      <c r="A15" s="2" t="s">
        <v>17</v>
      </c>
      <c r="B15" s="2">
        <v>40</v>
      </c>
      <c r="C15" s="1">
        <v>40</v>
      </c>
      <c r="D15" s="3">
        <v>998</v>
      </c>
      <c r="E15" s="1">
        <v>992</v>
      </c>
      <c r="F15" s="3">
        <v>0.84750000000000003</v>
      </c>
      <c r="G15" s="1">
        <v>0</v>
      </c>
      <c r="H15" s="4">
        <f t="shared" si="0"/>
        <v>0.84750000000000003</v>
      </c>
      <c r="I15" s="6">
        <v>40</v>
      </c>
      <c r="J15" s="1">
        <v>998</v>
      </c>
      <c r="K15" s="6"/>
      <c r="L15" s="1"/>
      <c r="M15" s="14" t="s">
        <v>78</v>
      </c>
      <c r="N15" s="6" t="s">
        <v>60</v>
      </c>
      <c r="O15" s="2">
        <v>257</v>
      </c>
      <c r="P15" s="1"/>
      <c r="Q15" s="1"/>
      <c r="R15" s="1"/>
      <c r="S15" s="1"/>
    </row>
    <row r="16" spans="1:19" x14ac:dyDescent="0.35">
      <c r="A16" s="3" t="s">
        <v>52</v>
      </c>
      <c r="B16" s="3">
        <v>60</v>
      </c>
      <c r="C16" s="1">
        <v>45</v>
      </c>
      <c r="D16" s="3">
        <v>992</v>
      </c>
      <c r="E16" s="1">
        <v>998</v>
      </c>
      <c r="F16" s="4">
        <v>2.2324999999999999</v>
      </c>
      <c r="G16" s="1">
        <v>1.46</v>
      </c>
      <c r="H16" s="4">
        <f t="shared" si="0"/>
        <v>0.77249999999999996</v>
      </c>
      <c r="I16" s="6">
        <v>60</v>
      </c>
      <c r="J16" s="1">
        <v>992</v>
      </c>
      <c r="K16" s="6"/>
      <c r="L16" s="1"/>
      <c r="M16" s="14" t="s">
        <v>78</v>
      </c>
      <c r="N16" s="6" t="s">
        <v>62</v>
      </c>
      <c r="O16" s="3">
        <v>991</v>
      </c>
      <c r="P16" s="1"/>
      <c r="Q16" s="1"/>
      <c r="R16" s="1"/>
      <c r="S16" s="1"/>
    </row>
    <row r="17" spans="1:19" x14ac:dyDescent="0.35">
      <c r="A17" s="9" t="s">
        <v>18</v>
      </c>
      <c r="B17" s="9">
        <v>95</v>
      </c>
      <c r="C17" s="1">
        <v>90</v>
      </c>
      <c r="D17" s="9">
        <v>965</v>
      </c>
      <c r="E17" s="1">
        <v>968</v>
      </c>
      <c r="F17" s="9">
        <v>6.57</v>
      </c>
      <c r="G17" s="1">
        <v>6.36</v>
      </c>
      <c r="H17" s="4">
        <f t="shared" si="0"/>
        <v>0.20999999999999996</v>
      </c>
      <c r="I17" s="6" t="s">
        <v>91</v>
      </c>
      <c r="J17" s="1" t="s">
        <v>92</v>
      </c>
      <c r="K17" s="6"/>
      <c r="L17" s="1"/>
      <c r="M17" s="14" t="s">
        <v>78</v>
      </c>
      <c r="N17" s="6" t="s">
        <v>64</v>
      </c>
      <c r="O17" s="9">
        <v>1718</v>
      </c>
      <c r="P17" s="1"/>
      <c r="Q17" s="1"/>
      <c r="R17" s="1"/>
      <c r="S17" s="1"/>
    </row>
    <row r="18" spans="1:19" x14ac:dyDescent="0.35">
      <c r="A18" s="3" t="s">
        <v>19</v>
      </c>
      <c r="B18" s="3">
        <v>55</v>
      </c>
      <c r="C18" s="1">
        <v>45</v>
      </c>
      <c r="D18" s="4">
        <v>980</v>
      </c>
      <c r="E18" s="1">
        <v>987</v>
      </c>
      <c r="F18" s="4">
        <v>3.0425</v>
      </c>
      <c r="G18" s="1">
        <v>0.81</v>
      </c>
      <c r="H18" s="9">
        <f t="shared" si="0"/>
        <v>2.2324999999999999</v>
      </c>
      <c r="I18" s="6">
        <v>55</v>
      </c>
      <c r="J18" s="1">
        <v>980</v>
      </c>
      <c r="K18" s="6">
        <v>45</v>
      </c>
      <c r="L18" s="1">
        <v>995</v>
      </c>
      <c r="M18" s="15" t="s">
        <v>79</v>
      </c>
      <c r="N18" s="6" t="s">
        <v>65</v>
      </c>
      <c r="O18" s="4">
        <v>1160</v>
      </c>
      <c r="P18" s="1"/>
      <c r="Q18" s="1"/>
      <c r="R18" s="1"/>
      <c r="S18" s="1"/>
    </row>
    <row r="19" spans="1:19" x14ac:dyDescent="0.35">
      <c r="A19" s="10" t="s">
        <v>54</v>
      </c>
      <c r="B19" s="10">
        <v>130</v>
      </c>
      <c r="C19" s="1">
        <v>125</v>
      </c>
      <c r="D19" s="5">
        <v>935</v>
      </c>
      <c r="E19" s="1">
        <v>948</v>
      </c>
      <c r="F19" s="5">
        <v>29.692499999999999</v>
      </c>
      <c r="G19" s="1">
        <v>27.25</v>
      </c>
      <c r="H19" s="9">
        <f t="shared" si="0"/>
        <v>2.442499999999999</v>
      </c>
      <c r="I19" s="6" t="s">
        <v>93</v>
      </c>
      <c r="J19" s="1" t="s">
        <v>94</v>
      </c>
      <c r="K19" s="6"/>
      <c r="L19" s="1"/>
      <c r="M19" s="14" t="s">
        <v>78</v>
      </c>
      <c r="N19" s="6" t="s">
        <v>66</v>
      </c>
      <c r="O19" s="5">
        <v>3986</v>
      </c>
      <c r="P19" s="1"/>
      <c r="Q19" s="1"/>
      <c r="R19" s="1"/>
      <c r="S19" s="1"/>
    </row>
    <row r="20" spans="1:19" x14ac:dyDescent="0.35">
      <c r="A20" s="2" t="s">
        <v>20</v>
      </c>
      <c r="B20" s="2">
        <v>35</v>
      </c>
      <c r="C20" s="1" t="s">
        <v>53</v>
      </c>
      <c r="D20" s="2">
        <v>1002</v>
      </c>
      <c r="E20" s="1" t="s">
        <v>53</v>
      </c>
      <c r="F20" s="3">
        <v>0.61250000000000004</v>
      </c>
      <c r="G20" s="1">
        <v>0</v>
      </c>
      <c r="H20" s="4">
        <f t="shared" si="0"/>
        <v>0.61250000000000004</v>
      </c>
      <c r="I20" s="6">
        <v>35</v>
      </c>
      <c r="J20" s="1">
        <v>1002</v>
      </c>
      <c r="K20" s="6"/>
      <c r="L20" s="1"/>
      <c r="M20" s="15" t="s">
        <v>79</v>
      </c>
      <c r="N20" s="6" t="s">
        <v>56</v>
      </c>
      <c r="O20" s="2">
        <v>386</v>
      </c>
      <c r="P20" s="1"/>
      <c r="Q20" s="1"/>
      <c r="R20" s="1"/>
      <c r="S20" s="1"/>
    </row>
    <row r="21" spans="1:19" x14ac:dyDescent="0.35">
      <c r="A21" s="2" t="s">
        <v>22</v>
      </c>
      <c r="B21" s="2">
        <v>35</v>
      </c>
      <c r="C21" s="1">
        <v>30</v>
      </c>
      <c r="D21" s="3">
        <v>995</v>
      </c>
      <c r="E21" s="1">
        <v>992</v>
      </c>
      <c r="F21" s="2">
        <v>0.1225</v>
      </c>
      <c r="G21" s="1">
        <v>0</v>
      </c>
      <c r="H21" s="4">
        <f t="shared" si="0"/>
        <v>0.1225</v>
      </c>
      <c r="I21" s="6">
        <v>35</v>
      </c>
      <c r="J21" s="1">
        <v>995</v>
      </c>
      <c r="K21" s="6"/>
      <c r="L21" s="1"/>
      <c r="M21" s="14" t="s">
        <v>78</v>
      </c>
      <c r="N21" s="6" t="s">
        <v>67</v>
      </c>
      <c r="O21" s="2">
        <v>0</v>
      </c>
      <c r="P21" s="1"/>
      <c r="Q21" s="1"/>
      <c r="R21" s="1"/>
      <c r="S21" s="1"/>
    </row>
    <row r="22" spans="1:19" x14ac:dyDescent="0.35">
      <c r="A22" s="3" t="s">
        <v>21</v>
      </c>
      <c r="B22" s="3">
        <v>50</v>
      </c>
      <c r="C22" s="1">
        <v>50</v>
      </c>
      <c r="D22" s="3">
        <v>988</v>
      </c>
      <c r="E22" s="1">
        <v>989</v>
      </c>
      <c r="F22" s="3">
        <v>1.1074999999999999</v>
      </c>
      <c r="G22" s="1">
        <v>0.78249999999999997</v>
      </c>
      <c r="H22" s="4">
        <f t="shared" si="0"/>
        <v>0.32499999999999996</v>
      </c>
      <c r="I22" s="6">
        <v>50</v>
      </c>
      <c r="J22" s="1">
        <v>992</v>
      </c>
      <c r="K22" s="6">
        <v>45</v>
      </c>
      <c r="L22" s="1">
        <v>995</v>
      </c>
      <c r="M22" s="14" t="s">
        <v>78</v>
      </c>
      <c r="N22" s="6" t="s">
        <v>60</v>
      </c>
      <c r="O22" s="3">
        <v>633</v>
      </c>
      <c r="P22" s="1"/>
      <c r="Q22" s="1"/>
      <c r="R22" s="1"/>
      <c r="S22" s="1"/>
    </row>
    <row r="23" spans="1:19" x14ac:dyDescent="0.35">
      <c r="A23" s="2" t="s">
        <v>23</v>
      </c>
      <c r="B23" s="2">
        <v>45</v>
      </c>
      <c r="C23" s="1">
        <v>40</v>
      </c>
      <c r="D23" s="3">
        <v>992</v>
      </c>
      <c r="E23" s="1">
        <v>992</v>
      </c>
      <c r="F23" s="3">
        <v>1.9350000000000001</v>
      </c>
      <c r="G23" s="1">
        <v>1.365</v>
      </c>
      <c r="H23" s="4">
        <f t="shared" si="0"/>
        <v>0.57000000000000006</v>
      </c>
      <c r="I23" s="6">
        <v>45</v>
      </c>
      <c r="J23" s="1">
        <v>992</v>
      </c>
      <c r="K23" s="6"/>
      <c r="L23" s="1"/>
      <c r="M23" s="14" t="s">
        <v>78</v>
      </c>
      <c r="N23" s="6" t="s">
        <v>68</v>
      </c>
      <c r="O23" s="7">
        <v>2845</v>
      </c>
      <c r="P23" s="1"/>
      <c r="Q23" s="1"/>
      <c r="R23" s="1"/>
      <c r="S23" s="1"/>
    </row>
    <row r="24" spans="1:19" x14ac:dyDescent="0.35">
      <c r="A24" s="4" t="s">
        <v>25</v>
      </c>
      <c r="B24" s="4">
        <v>70</v>
      </c>
      <c r="C24" s="1">
        <v>55</v>
      </c>
      <c r="D24" s="4">
        <v>980</v>
      </c>
      <c r="E24" s="1">
        <v>988</v>
      </c>
      <c r="F24" s="4">
        <v>2.0649999999999999</v>
      </c>
      <c r="G24" s="1">
        <v>1.415</v>
      </c>
      <c r="H24" s="4">
        <f t="shared" si="0"/>
        <v>0.64999999999999991</v>
      </c>
      <c r="I24" s="6">
        <v>70</v>
      </c>
      <c r="J24" s="1">
        <v>980</v>
      </c>
      <c r="K24" s="6"/>
      <c r="L24" s="1"/>
      <c r="M24" s="14" t="s">
        <v>78</v>
      </c>
      <c r="N24" s="6" t="s">
        <v>55</v>
      </c>
      <c r="O24" s="9">
        <v>1529</v>
      </c>
      <c r="P24" s="1"/>
      <c r="Q24" s="1"/>
      <c r="R24" s="1"/>
      <c r="S24" s="1"/>
    </row>
    <row r="25" spans="1:19" x14ac:dyDescent="0.35">
      <c r="A25" s="4" t="s">
        <v>24</v>
      </c>
      <c r="B25" s="4">
        <v>65</v>
      </c>
      <c r="C25" s="1">
        <v>60</v>
      </c>
      <c r="D25" s="3">
        <v>985</v>
      </c>
      <c r="E25" s="1">
        <v>983</v>
      </c>
      <c r="F25" s="4">
        <v>4.2050000000000001</v>
      </c>
      <c r="G25" s="1">
        <v>2.2174999999999998</v>
      </c>
      <c r="H25" s="4">
        <f t="shared" si="0"/>
        <v>1.9875000000000003</v>
      </c>
      <c r="I25" s="6" t="s">
        <v>95</v>
      </c>
      <c r="J25" s="1" t="s">
        <v>96</v>
      </c>
      <c r="K25" s="6">
        <v>65</v>
      </c>
      <c r="L25" s="1">
        <v>985</v>
      </c>
      <c r="M25" s="15" t="s">
        <v>79</v>
      </c>
      <c r="N25" s="6" t="s">
        <v>69</v>
      </c>
      <c r="O25" s="9">
        <v>1559</v>
      </c>
      <c r="P25" s="1"/>
      <c r="Q25" s="1"/>
      <c r="R25" s="1"/>
      <c r="S25" s="1"/>
    </row>
    <row r="26" spans="1:19" x14ac:dyDescent="0.35">
      <c r="A26" s="2" t="s">
        <v>26</v>
      </c>
      <c r="B26" s="2">
        <v>40</v>
      </c>
      <c r="C26" s="1">
        <v>30</v>
      </c>
      <c r="D26" s="3">
        <v>998</v>
      </c>
      <c r="E26" s="1">
        <v>1002</v>
      </c>
      <c r="F26" s="3">
        <v>0.6875</v>
      </c>
      <c r="G26" s="1">
        <v>0</v>
      </c>
      <c r="H26" s="4">
        <f t="shared" si="0"/>
        <v>0.6875</v>
      </c>
      <c r="I26" s="6">
        <v>40</v>
      </c>
      <c r="J26" s="1">
        <v>998</v>
      </c>
      <c r="K26" s="6">
        <v>40</v>
      </c>
      <c r="L26" s="1">
        <v>1000</v>
      </c>
      <c r="M26" s="14" t="s">
        <v>78</v>
      </c>
      <c r="N26" s="6" t="s">
        <v>56</v>
      </c>
      <c r="O26" s="2">
        <v>126</v>
      </c>
      <c r="P26" s="1"/>
      <c r="Q26" s="1"/>
      <c r="R26" s="1"/>
      <c r="S26" s="1"/>
    </row>
    <row r="27" spans="1:19" x14ac:dyDescent="0.35">
      <c r="A27" s="2" t="s">
        <v>27</v>
      </c>
      <c r="B27" s="2">
        <v>40</v>
      </c>
      <c r="C27" s="1">
        <v>30</v>
      </c>
      <c r="D27" s="3">
        <v>995</v>
      </c>
      <c r="E27" s="1">
        <v>1001</v>
      </c>
      <c r="F27" s="3">
        <v>1.2150000000000001</v>
      </c>
      <c r="G27" s="1">
        <v>0</v>
      </c>
      <c r="H27" s="4">
        <f t="shared" si="0"/>
        <v>1.2150000000000001</v>
      </c>
      <c r="I27" s="6">
        <v>40</v>
      </c>
      <c r="J27" s="1">
        <v>995</v>
      </c>
      <c r="K27" s="6"/>
      <c r="L27" s="1"/>
      <c r="M27" s="14" t="s">
        <v>78</v>
      </c>
      <c r="N27" s="6" t="s">
        <v>55</v>
      </c>
      <c r="O27" s="3">
        <v>530</v>
      </c>
      <c r="P27" s="1"/>
      <c r="Q27" s="1"/>
      <c r="R27" s="1"/>
      <c r="S27" s="1"/>
    </row>
    <row r="28" spans="1:19" x14ac:dyDescent="0.35">
      <c r="A28" s="7" t="s">
        <v>28</v>
      </c>
      <c r="B28" s="7">
        <v>105</v>
      </c>
      <c r="C28" s="1">
        <v>100</v>
      </c>
      <c r="D28" s="7">
        <v>958</v>
      </c>
      <c r="E28" s="1">
        <v>962</v>
      </c>
      <c r="F28" s="9">
        <v>8.1624999999999996</v>
      </c>
      <c r="G28" s="1">
        <v>7.3250000000000002</v>
      </c>
      <c r="H28" s="4">
        <f t="shared" si="0"/>
        <v>0.83749999999999947</v>
      </c>
      <c r="I28" s="6" t="s">
        <v>97</v>
      </c>
      <c r="J28" s="1" t="s">
        <v>98</v>
      </c>
      <c r="K28" s="6">
        <v>100</v>
      </c>
      <c r="L28" s="1">
        <v>960</v>
      </c>
      <c r="M28" s="15" t="s">
        <v>79</v>
      </c>
      <c r="N28" s="6" t="s">
        <v>70</v>
      </c>
      <c r="O28" s="9">
        <v>1755</v>
      </c>
      <c r="P28" s="1"/>
      <c r="Q28" s="1"/>
      <c r="R28" s="1"/>
      <c r="S28" s="1"/>
    </row>
    <row r="29" spans="1:19" x14ac:dyDescent="0.35">
      <c r="A29" s="9" t="s">
        <v>29</v>
      </c>
      <c r="B29" s="9">
        <v>95</v>
      </c>
      <c r="C29" s="1">
        <v>85</v>
      </c>
      <c r="D29" s="9">
        <v>968</v>
      </c>
      <c r="E29" s="1">
        <v>968</v>
      </c>
      <c r="F29" s="9">
        <v>7.5274999999999999</v>
      </c>
      <c r="G29" s="1">
        <v>5.43</v>
      </c>
      <c r="H29" s="9">
        <f t="shared" si="0"/>
        <v>2.0975000000000001</v>
      </c>
      <c r="I29" s="6">
        <v>95</v>
      </c>
      <c r="J29" s="1">
        <v>968</v>
      </c>
      <c r="K29" s="6" t="s">
        <v>116</v>
      </c>
      <c r="L29" s="1" t="s">
        <v>117</v>
      </c>
      <c r="M29" s="14" t="s">
        <v>78</v>
      </c>
      <c r="N29" s="6" t="s">
        <v>71</v>
      </c>
      <c r="O29" s="4">
        <v>1456</v>
      </c>
      <c r="P29" s="1"/>
      <c r="Q29" s="1"/>
      <c r="R29" s="1"/>
      <c r="S29" s="1"/>
    </row>
    <row r="30" spans="1:19" x14ac:dyDescent="0.35">
      <c r="A30" s="5" t="s">
        <v>30</v>
      </c>
      <c r="B30" s="5">
        <v>120</v>
      </c>
      <c r="C30" s="1">
        <v>110</v>
      </c>
      <c r="D30" s="7">
        <v>952</v>
      </c>
      <c r="E30" s="1">
        <v>956</v>
      </c>
      <c r="F30" s="5">
        <v>23.13</v>
      </c>
      <c r="G30" s="1">
        <v>20.715</v>
      </c>
      <c r="H30" s="9">
        <f t="shared" si="0"/>
        <v>2.4149999999999991</v>
      </c>
      <c r="I30" s="6" t="s">
        <v>99</v>
      </c>
      <c r="J30" s="1" t="s">
        <v>100</v>
      </c>
      <c r="K30" s="6">
        <v>110</v>
      </c>
      <c r="L30" s="1">
        <v>958</v>
      </c>
      <c r="M30" s="14" t="s">
        <v>78</v>
      </c>
      <c r="N30" s="6" t="s">
        <v>72</v>
      </c>
      <c r="O30" s="5">
        <v>4240</v>
      </c>
      <c r="P30" s="1"/>
      <c r="Q30" s="1"/>
      <c r="R30" s="1"/>
      <c r="S30" s="1"/>
    </row>
    <row r="31" spans="1:19" x14ac:dyDescent="0.35">
      <c r="A31" s="10" t="s">
        <v>31</v>
      </c>
      <c r="B31" s="10">
        <v>130</v>
      </c>
      <c r="C31" s="1">
        <v>140</v>
      </c>
      <c r="D31" s="7">
        <v>940</v>
      </c>
      <c r="E31" s="1">
        <v>920</v>
      </c>
      <c r="F31" s="7">
        <v>14.145</v>
      </c>
      <c r="G31" s="1">
        <v>15.055</v>
      </c>
      <c r="H31" s="11">
        <f t="shared" si="0"/>
        <v>-0.91000000000000014</v>
      </c>
      <c r="I31" s="6">
        <v>130</v>
      </c>
      <c r="J31" s="1">
        <v>940</v>
      </c>
      <c r="K31" s="6"/>
      <c r="L31" s="1"/>
      <c r="M31" s="16" t="s">
        <v>80</v>
      </c>
      <c r="N31" s="6" t="s">
        <v>73</v>
      </c>
      <c r="O31" s="7">
        <v>2673</v>
      </c>
      <c r="P31" s="1"/>
      <c r="Q31" s="1"/>
      <c r="R31" s="1"/>
      <c r="S31" s="1"/>
    </row>
    <row r="32" spans="1:19" x14ac:dyDescent="0.35">
      <c r="A32" s="4" t="s">
        <v>32</v>
      </c>
      <c r="B32" s="4">
        <v>70</v>
      </c>
      <c r="C32" s="1">
        <v>65</v>
      </c>
      <c r="D32" s="4">
        <v>978</v>
      </c>
      <c r="E32" s="1">
        <v>980</v>
      </c>
      <c r="F32" s="4">
        <v>4.95</v>
      </c>
      <c r="G32" s="1">
        <v>3.7050000000000001</v>
      </c>
      <c r="H32" s="4">
        <f t="shared" si="0"/>
        <v>1.2450000000000001</v>
      </c>
      <c r="I32" s="6">
        <v>70</v>
      </c>
      <c r="J32" s="1">
        <v>978</v>
      </c>
      <c r="K32" s="6"/>
      <c r="L32" s="1"/>
      <c r="M32" s="15" t="s">
        <v>79</v>
      </c>
      <c r="N32" s="6" t="s">
        <v>57</v>
      </c>
      <c r="O32" s="9">
        <v>1907</v>
      </c>
      <c r="P32" s="1"/>
      <c r="Q32" s="1"/>
      <c r="R32" s="1"/>
      <c r="S32" s="1"/>
    </row>
    <row r="33" spans="1:19" x14ac:dyDescent="0.35">
      <c r="A33" s="3" t="s">
        <v>34</v>
      </c>
      <c r="B33" s="3">
        <v>60</v>
      </c>
      <c r="C33" s="1">
        <v>35</v>
      </c>
      <c r="D33" s="3">
        <v>985</v>
      </c>
      <c r="E33" s="1">
        <v>991</v>
      </c>
      <c r="F33" s="3">
        <v>1.7925</v>
      </c>
      <c r="G33" s="1">
        <v>1.0549999999999999</v>
      </c>
      <c r="H33" s="4">
        <f t="shared" si="0"/>
        <v>0.73750000000000004</v>
      </c>
      <c r="I33" s="6">
        <v>60</v>
      </c>
      <c r="J33" s="1">
        <v>985</v>
      </c>
      <c r="K33" s="6"/>
      <c r="L33" s="1"/>
      <c r="M33" s="14" t="s">
        <v>78</v>
      </c>
      <c r="N33" s="6" t="s">
        <v>55</v>
      </c>
      <c r="O33" s="4">
        <v>1326</v>
      </c>
      <c r="P33" s="1"/>
      <c r="Q33" s="1"/>
      <c r="R33" s="1"/>
      <c r="S33" s="1"/>
    </row>
    <row r="34" spans="1:19" x14ac:dyDescent="0.35">
      <c r="A34" s="2" t="s">
        <v>33</v>
      </c>
      <c r="B34" s="2">
        <v>35</v>
      </c>
      <c r="C34" s="1">
        <v>40</v>
      </c>
      <c r="D34" s="3">
        <v>998</v>
      </c>
      <c r="E34" s="1">
        <v>997</v>
      </c>
      <c r="F34" s="2">
        <v>0.49</v>
      </c>
      <c r="G34" s="1">
        <v>0.36749999999999999</v>
      </c>
      <c r="H34" s="4">
        <f t="shared" si="0"/>
        <v>0.1225</v>
      </c>
      <c r="I34" s="6">
        <v>35</v>
      </c>
      <c r="J34" s="1">
        <v>998</v>
      </c>
      <c r="K34" s="6">
        <v>25</v>
      </c>
      <c r="L34" s="1">
        <v>1000</v>
      </c>
      <c r="M34" s="14" t="s">
        <v>78</v>
      </c>
      <c r="N34" s="6" t="s">
        <v>74</v>
      </c>
      <c r="O34" s="2">
        <v>173</v>
      </c>
      <c r="P34" s="1"/>
      <c r="Q34" s="1"/>
      <c r="R34" s="1"/>
      <c r="S34" s="1"/>
    </row>
    <row r="35" spans="1:19" x14ac:dyDescent="0.35">
      <c r="A35" s="2" t="s">
        <v>35</v>
      </c>
      <c r="B35" s="2">
        <v>40</v>
      </c>
      <c r="C35" s="1">
        <v>35</v>
      </c>
      <c r="D35" s="3">
        <v>995</v>
      </c>
      <c r="E35" s="1">
        <v>989</v>
      </c>
      <c r="F35" s="3">
        <v>1.4125000000000001</v>
      </c>
      <c r="G35" s="1">
        <v>0.98</v>
      </c>
      <c r="H35" s="4">
        <f t="shared" si="0"/>
        <v>0.43250000000000011</v>
      </c>
      <c r="I35" s="6">
        <v>40</v>
      </c>
      <c r="J35" s="1">
        <v>995</v>
      </c>
      <c r="K35" s="6"/>
      <c r="L35" s="1"/>
      <c r="M35" s="14" t="s">
        <v>78</v>
      </c>
      <c r="N35" s="6" t="s">
        <v>62</v>
      </c>
      <c r="O35" s="4">
        <v>1015</v>
      </c>
      <c r="P35" s="1"/>
      <c r="Q35" s="1"/>
      <c r="R35" s="1"/>
      <c r="S35" s="1"/>
    </row>
    <row r="36" spans="1:19" x14ac:dyDescent="0.35">
      <c r="A36" s="10" t="s">
        <v>36</v>
      </c>
      <c r="B36" s="10">
        <v>135</v>
      </c>
      <c r="C36" s="1">
        <v>130</v>
      </c>
      <c r="D36" s="5">
        <v>928</v>
      </c>
      <c r="E36" s="1">
        <v>928</v>
      </c>
      <c r="F36" s="5">
        <v>29.8125</v>
      </c>
      <c r="G36" s="1">
        <v>27.397500000000001</v>
      </c>
      <c r="H36" s="9">
        <f t="shared" si="0"/>
        <v>2.4149999999999991</v>
      </c>
      <c r="I36" s="6" t="s">
        <v>101</v>
      </c>
      <c r="J36" s="1" t="s">
        <v>102</v>
      </c>
      <c r="K36" s="6" t="s">
        <v>114</v>
      </c>
      <c r="L36" s="1" t="s">
        <v>115</v>
      </c>
      <c r="M36" s="14" t="s">
        <v>78</v>
      </c>
      <c r="N36" s="6" t="s">
        <v>75</v>
      </c>
      <c r="O36" s="13">
        <v>6246</v>
      </c>
      <c r="P36" s="1"/>
      <c r="Q36" s="1"/>
      <c r="R36" s="1"/>
      <c r="S36" s="1"/>
    </row>
    <row r="37" spans="1:19" x14ac:dyDescent="0.35">
      <c r="A37" s="2" t="s">
        <v>37</v>
      </c>
      <c r="B37" s="2">
        <v>45</v>
      </c>
      <c r="C37" s="1">
        <v>45</v>
      </c>
      <c r="D37" s="3">
        <v>992</v>
      </c>
      <c r="E37" s="1">
        <v>981</v>
      </c>
      <c r="F37" s="3">
        <v>0.72499999999999998</v>
      </c>
      <c r="G37" s="1">
        <v>0.6875</v>
      </c>
      <c r="H37" s="4">
        <f t="shared" si="0"/>
        <v>3.7499999999999978E-2</v>
      </c>
      <c r="I37" s="6">
        <v>45</v>
      </c>
      <c r="J37" s="1">
        <v>992</v>
      </c>
      <c r="K37" s="6"/>
      <c r="L37" s="1"/>
      <c r="M37" s="14" t="s">
        <v>78</v>
      </c>
      <c r="N37" s="6" t="s">
        <v>74</v>
      </c>
      <c r="O37" s="3">
        <v>530</v>
      </c>
      <c r="P37" s="1"/>
      <c r="Q37" s="1"/>
      <c r="R37" s="1"/>
      <c r="S37" s="1"/>
    </row>
    <row r="38" spans="1:19" x14ac:dyDescent="0.35">
      <c r="A38" s="9" t="s">
        <v>38</v>
      </c>
      <c r="B38" s="9">
        <v>95</v>
      </c>
      <c r="C38" s="1">
        <v>90</v>
      </c>
      <c r="D38" s="9">
        <v>965</v>
      </c>
      <c r="E38" s="1">
        <v>971</v>
      </c>
      <c r="F38" s="9">
        <v>7.3</v>
      </c>
      <c r="G38" s="1">
        <v>6.6425000000000001</v>
      </c>
      <c r="H38" s="4">
        <f t="shared" si="0"/>
        <v>0.65749999999999975</v>
      </c>
      <c r="I38" s="6">
        <v>95</v>
      </c>
      <c r="J38" s="1">
        <v>965</v>
      </c>
      <c r="K38" s="6"/>
      <c r="L38" s="1"/>
      <c r="M38" s="14" t="s">
        <v>78</v>
      </c>
      <c r="N38" s="6" t="s">
        <v>76</v>
      </c>
      <c r="O38" s="7">
        <v>2534</v>
      </c>
      <c r="P38" s="1"/>
      <c r="Q38" s="1"/>
      <c r="R38" s="1"/>
      <c r="S38" s="1"/>
    </row>
    <row r="39" spans="1:19" x14ac:dyDescent="0.35">
      <c r="A39" s="5" t="s">
        <v>39</v>
      </c>
      <c r="B39" s="5">
        <v>115</v>
      </c>
      <c r="C39" s="1">
        <v>125</v>
      </c>
      <c r="D39" s="7">
        <v>948</v>
      </c>
      <c r="E39" s="1">
        <v>930</v>
      </c>
      <c r="F39" s="5">
        <v>21.664999999999999</v>
      </c>
      <c r="G39" s="1">
        <v>20.69</v>
      </c>
      <c r="H39" s="4">
        <f t="shared" si="0"/>
        <v>0.97499999999999787</v>
      </c>
      <c r="I39" s="6" t="s">
        <v>103</v>
      </c>
      <c r="J39" s="1" t="s">
        <v>104</v>
      </c>
      <c r="K39" s="6" t="s">
        <v>112</v>
      </c>
      <c r="L39" s="1" t="s">
        <v>113</v>
      </c>
      <c r="M39" s="15" t="s">
        <v>79</v>
      </c>
      <c r="N39" s="6" t="s">
        <v>77</v>
      </c>
      <c r="O39" s="4">
        <v>1378</v>
      </c>
      <c r="P39" s="1"/>
      <c r="Q39" s="1"/>
      <c r="R39" s="1"/>
      <c r="S39" s="1"/>
    </row>
    <row r="40" spans="1:19" x14ac:dyDescent="0.35">
      <c r="A40" s="7" t="s">
        <v>40</v>
      </c>
      <c r="B40" s="7">
        <v>105</v>
      </c>
      <c r="C40" s="1">
        <v>100</v>
      </c>
      <c r="D40" s="7">
        <v>952</v>
      </c>
      <c r="E40" s="1">
        <v>954</v>
      </c>
      <c r="F40" s="7">
        <v>17.8</v>
      </c>
      <c r="G40" s="1">
        <v>11.362500000000001</v>
      </c>
      <c r="H40" s="7">
        <f t="shared" si="0"/>
        <v>6.4375</v>
      </c>
      <c r="I40" s="6" t="s">
        <v>105</v>
      </c>
      <c r="J40" s="1" t="s">
        <v>106</v>
      </c>
      <c r="K40" s="6">
        <v>40</v>
      </c>
      <c r="L40" s="1">
        <v>978</v>
      </c>
      <c r="M40" s="15" t="s">
        <v>79</v>
      </c>
      <c r="N40" s="6" t="s">
        <v>59</v>
      </c>
      <c r="O40" s="7">
        <v>3039</v>
      </c>
      <c r="P40" s="1"/>
      <c r="Q40" s="1"/>
      <c r="R40" s="1"/>
      <c r="S40" s="1"/>
    </row>
    <row r="41" spans="1:19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5">
      <c r="A42" s="6" t="s">
        <v>108</v>
      </c>
      <c r="B42" s="8">
        <f ca="1">MAX(OFFSET(B1,0,0,ROW()-1,1))</f>
        <v>140</v>
      </c>
      <c r="C42" s="17">
        <f ca="1">MAX(OFFSET(C1,0,0,ROW()-1,1))</f>
        <v>140</v>
      </c>
      <c r="D42" s="5">
        <f ca="1">MIN(OFFSET(D1,0,0,ROW()-1,1))</f>
        <v>928</v>
      </c>
      <c r="E42" s="1">
        <f ca="1">MIN(OFFSET(E1,0,0,ROW()-1,1))</f>
        <v>920</v>
      </c>
      <c r="F42" s="6">
        <f>SUM(F$1:INDEX(F:F, ROW()-1))</f>
        <v>280.67</v>
      </c>
      <c r="G42" s="1">
        <f>SUM(G$1:INDEX(G:G, ROW()-1))</f>
        <v>229.82000000000005</v>
      </c>
      <c r="H42" s="1" t="s">
        <v>109</v>
      </c>
      <c r="I42" s="1" t="s">
        <v>109</v>
      </c>
      <c r="J42" s="1" t="s">
        <v>109</v>
      </c>
      <c r="K42" s="1"/>
      <c r="L42" s="1"/>
      <c r="M42" s="1" t="s">
        <v>109</v>
      </c>
      <c r="N42" s="1"/>
      <c r="O42" s="1">
        <f>SUM(O$1:INDEX(O:O, ROW()-1))</f>
        <v>60918</v>
      </c>
      <c r="P42" s="1"/>
      <c r="Q42" s="1"/>
      <c r="R42" s="1"/>
      <c r="S42" s="1"/>
    </row>
    <row r="43" spans="1:19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</sheetData>
  <mergeCells count="4">
    <mergeCell ref="B1:C1"/>
    <mergeCell ref="D1:E1"/>
    <mergeCell ref="F1:H1"/>
    <mergeCell ref="I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Yukioto</dc:creator>
  <cp:lastModifiedBy>yuchen zhang</cp:lastModifiedBy>
  <dcterms:created xsi:type="dcterms:W3CDTF">2015-06-05T18:19:34Z</dcterms:created>
  <dcterms:modified xsi:type="dcterms:W3CDTF">2026-05-03T18:40:47Z</dcterms:modified>
</cp:coreProperties>
</file>